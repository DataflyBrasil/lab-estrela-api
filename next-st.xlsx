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Dcserver\todos os pa's\ROTAS SISAL\INGRID\"/>
    </mc:Choice>
  </mc:AlternateContent>
  <xr:revisionPtr revIDLastSave="0" documentId="13_ncr:1_{F100D3E2-13BA-4EB1-B41A-67A1B813677D}" xr6:coauthVersionLast="47" xr6:coauthVersionMax="47" xr10:uidLastSave="{00000000-0000-0000-0000-000000000000}"/>
  <bookViews>
    <workbookView xWindow="-120" yWindow="-120" windowWidth="20730" windowHeight="11160" tabRatio="856" xr2:uid="{00000000-000D-0000-FFFF-FFFF00000000}"/>
  </bookViews>
  <sheets>
    <sheet name="PA CAPA" sheetId="11" r:id="rId1"/>
    <sheet name="1. SANTA LUZ" sheetId="2" r:id="rId2"/>
    <sheet name="3. COITÉ " sheetId="5" r:id="rId3"/>
    <sheet name="4. VALENTE " sheetId="7" r:id="rId4"/>
    <sheet name="2. RIAÇHÃO" sheetId="10" r:id="rId5"/>
    <sheet name="CONSOLIDADO" sheetId="1" r:id="rId6"/>
    <sheet name="Planilha2" sheetId="9" state="hidden" r:id="rId7"/>
  </sheets>
  <calcPr calcId="181029"/>
</workbook>
</file>

<file path=xl/calcChain.xml><?xml version="1.0" encoding="utf-8"?>
<calcChain xmlns="http://schemas.openxmlformats.org/spreadsheetml/2006/main">
  <c r="C281" i="7" l="1"/>
  <c r="C302" i="5"/>
  <c r="C341" i="2"/>
  <c r="P9" i="11" l="1"/>
  <c r="P8" i="11"/>
  <c r="I312" i="7"/>
  <c r="I313" i="7"/>
  <c r="I314" i="7"/>
  <c r="H312" i="7"/>
  <c r="H313" i="7"/>
  <c r="H314" i="7"/>
  <c r="I311" i="7"/>
  <c r="H311" i="7"/>
  <c r="C293" i="7"/>
  <c r="C292" i="7"/>
  <c r="C291" i="7"/>
  <c r="C274" i="7"/>
  <c r="I338" i="5"/>
  <c r="J338" i="5" s="1"/>
  <c r="K338" i="5" s="1"/>
  <c r="I339" i="5"/>
  <c r="J339" i="5" s="1"/>
  <c r="K339" i="5" s="1"/>
  <c r="H338" i="5"/>
  <c r="H339" i="5"/>
  <c r="I337" i="5"/>
  <c r="J337" i="5" s="1"/>
  <c r="K337" i="5" s="1"/>
  <c r="H337" i="5"/>
  <c r="C317" i="5"/>
  <c r="C316" i="5"/>
  <c r="I406" i="2"/>
  <c r="J406" i="2" s="1"/>
  <c r="K406" i="2" s="1"/>
  <c r="I407" i="2"/>
  <c r="J407" i="2" s="1"/>
  <c r="K407" i="2" s="1"/>
  <c r="G408" i="2"/>
  <c r="E408" i="2"/>
  <c r="I401" i="2"/>
  <c r="J401" i="2" s="1"/>
  <c r="K401" i="2" s="1"/>
  <c r="N401" i="2" s="1"/>
  <c r="I402" i="2"/>
  <c r="J402" i="2" s="1"/>
  <c r="K402" i="2" s="1"/>
  <c r="N402" i="2" s="1"/>
  <c r="I403" i="2"/>
  <c r="J403" i="2" s="1"/>
  <c r="K403" i="2" s="1"/>
  <c r="N403" i="2" s="1"/>
  <c r="I404" i="2"/>
  <c r="J404" i="2" s="1"/>
  <c r="K404" i="2" s="1"/>
  <c r="N404" i="2" s="1"/>
  <c r="I405" i="2"/>
  <c r="J405" i="2" s="1"/>
  <c r="K405" i="2" s="1"/>
  <c r="N405" i="2" s="1"/>
  <c r="I400" i="2"/>
  <c r="J400" i="2" s="1"/>
  <c r="H401" i="2"/>
  <c r="H402" i="2"/>
  <c r="H403" i="2"/>
  <c r="H404" i="2"/>
  <c r="H405" i="2"/>
  <c r="H400" i="2"/>
  <c r="C365" i="2"/>
  <c r="C357" i="2"/>
  <c r="C374" i="2"/>
  <c r="C377" i="2" s="1"/>
  <c r="D353" i="2"/>
  <c r="E353" i="2"/>
  <c r="F353" i="2"/>
  <c r="H353" i="2"/>
  <c r="C269" i="7"/>
  <c r="C270" i="7" s="1"/>
  <c r="C351" i="2"/>
  <c r="J383" i="7"/>
  <c r="G385" i="7"/>
  <c r="E385" i="7"/>
  <c r="N383" i="7"/>
  <c r="K383" i="7"/>
  <c r="K382" i="7"/>
  <c r="N382" i="7" s="1"/>
  <c r="J382" i="7"/>
  <c r="K381" i="7"/>
  <c r="N381" i="7" s="1"/>
  <c r="N385" i="7" s="1"/>
  <c r="G322" i="7"/>
  <c r="E322" i="7"/>
  <c r="G315" i="7"/>
  <c r="E315" i="7"/>
  <c r="G379" i="7"/>
  <c r="E379" i="7"/>
  <c r="J377" i="7"/>
  <c r="K377" i="7" s="1"/>
  <c r="N377" i="7" s="1"/>
  <c r="J376" i="7"/>
  <c r="K376" i="7" s="1"/>
  <c r="N376" i="7" s="1"/>
  <c r="K375" i="7"/>
  <c r="N375" i="7" s="1"/>
  <c r="G373" i="7"/>
  <c r="E373" i="7"/>
  <c r="J371" i="7"/>
  <c r="K371" i="7" s="1"/>
  <c r="N371" i="7" s="1"/>
  <c r="J370" i="7"/>
  <c r="K370" i="7" s="1"/>
  <c r="N370" i="7" s="1"/>
  <c r="K369" i="7"/>
  <c r="N369" i="7" s="1"/>
  <c r="N364" i="7"/>
  <c r="K364" i="7"/>
  <c r="K363" i="7"/>
  <c r="N363" i="7" s="1"/>
  <c r="N367" i="7" s="1"/>
  <c r="G361" i="7"/>
  <c r="E361" i="7"/>
  <c r="J358" i="7"/>
  <c r="K358" i="7" s="1"/>
  <c r="N358" i="7" s="1"/>
  <c r="K357" i="7"/>
  <c r="N357" i="7" s="1"/>
  <c r="N361" i="7" s="1"/>
  <c r="J357" i="7"/>
  <c r="G355" i="7"/>
  <c r="E355" i="7"/>
  <c r="J352" i="7"/>
  <c r="K352" i="7" s="1"/>
  <c r="N352" i="7" s="1"/>
  <c r="K351" i="7"/>
  <c r="N351" i="7" s="1"/>
  <c r="N355" i="7" s="1"/>
  <c r="J351" i="7"/>
  <c r="G349" i="7"/>
  <c r="E349" i="7"/>
  <c r="K346" i="7"/>
  <c r="N346" i="7" s="1"/>
  <c r="J346" i="7"/>
  <c r="J345" i="7"/>
  <c r="K345" i="7" s="1"/>
  <c r="N345" i="7" s="1"/>
  <c r="N349" i="7" s="1"/>
  <c r="G343" i="7"/>
  <c r="E343" i="7"/>
  <c r="J339" i="7"/>
  <c r="K339" i="7" s="1"/>
  <c r="N339" i="7" s="1"/>
  <c r="J338" i="7"/>
  <c r="K338" i="7" s="1"/>
  <c r="N338" i="7" s="1"/>
  <c r="N343" i="7" s="1"/>
  <c r="G335" i="7"/>
  <c r="E335" i="7"/>
  <c r="J332" i="7"/>
  <c r="K332" i="7" s="1"/>
  <c r="N332" i="7" s="1"/>
  <c r="J331" i="7"/>
  <c r="K331" i="7" s="1"/>
  <c r="N331" i="7" s="1"/>
  <c r="G327" i="7"/>
  <c r="E327" i="7"/>
  <c r="J325" i="7"/>
  <c r="K325" i="7" s="1"/>
  <c r="N325" i="7" s="1"/>
  <c r="J324" i="7"/>
  <c r="K324" i="7" s="1"/>
  <c r="N324" i="7" s="1"/>
  <c r="J318" i="7"/>
  <c r="K318" i="7" s="1"/>
  <c r="N318" i="7" s="1"/>
  <c r="J317" i="7"/>
  <c r="K317" i="7" s="1"/>
  <c r="N317" i="7" s="1"/>
  <c r="J312" i="7"/>
  <c r="K312" i="7" s="1"/>
  <c r="N312" i="7" s="1"/>
  <c r="J311" i="7"/>
  <c r="K311" i="7" s="1"/>
  <c r="N311" i="7" s="1"/>
  <c r="D289" i="5"/>
  <c r="D16" i="1" s="1"/>
  <c r="E289" i="5"/>
  <c r="E16" i="1" s="1"/>
  <c r="F289" i="5"/>
  <c r="F16" i="1" s="1"/>
  <c r="G289" i="5"/>
  <c r="H289" i="5"/>
  <c r="I289" i="5"/>
  <c r="J289" i="5"/>
  <c r="K289" i="5"/>
  <c r="L289" i="5"/>
  <c r="M289" i="5"/>
  <c r="N289" i="5"/>
  <c r="N16" i="1" s="1"/>
  <c r="O289" i="5"/>
  <c r="P289" i="5"/>
  <c r="C289" i="5"/>
  <c r="C318" i="5" s="1"/>
  <c r="G412" i="5"/>
  <c r="E412" i="5"/>
  <c r="G394" i="5"/>
  <c r="E394" i="5"/>
  <c r="G387" i="5"/>
  <c r="E387" i="5"/>
  <c r="G354" i="5"/>
  <c r="E354" i="5"/>
  <c r="G347" i="5"/>
  <c r="E347" i="5"/>
  <c r="G340" i="5"/>
  <c r="E340" i="5"/>
  <c r="K411" i="5"/>
  <c r="N411" i="5" s="1"/>
  <c r="J410" i="5"/>
  <c r="K410" i="5" s="1"/>
  <c r="N410" i="5" s="1"/>
  <c r="J409" i="5"/>
  <c r="K409" i="5" s="1"/>
  <c r="N409" i="5" s="1"/>
  <c r="J408" i="5"/>
  <c r="K408" i="5" s="1"/>
  <c r="N408" i="5" s="1"/>
  <c r="K405" i="5"/>
  <c r="N405" i="5" s="1"/>
  <c r="J404" i="5"/>
  <c r="K404" i="5" s="1"/>
  <c r="N404" i="5" s="1"/>
  <c r="J403" i="5"/>
  <c r="K403" i="5" s="1"/>
  <c r="N403" i="5" s="1"/>
  <c r="J402" i="5"/>
  <c r="K402" i="5" s="1"/>
  <c r="N402" i="5" s="1"/>
  <c r="G400" i="5"/>
  <c r="G406" i="5" s="1"/>
  <c r="E400" i="5"/>
  <c r="E406" i="5" s="1"/>
  <c r="J399" i="5"/>
  <c r="K399" i="5" s="1"/>
  <c r="N399" i="5" s="1"/>
  <c r="J398" i="5"/>
  <c r="K398" i="5" s="1"/>
  <c r="N398" i="5" s="1"/>
  <c r="J397" i="5"/>
  <c r="K397" i="5" s="1"/>
  <c r="N397" i="5" s="1"/>
  <c r="K396" i="5"/>
  <c r="N396" i="5" s="1"/>
  <c r="J392" i="5"/>
  <c r="K392" i="5" s="1"/>
  <c r="N392" i="5" s="1"/>
  <c r="J391" i="5"/>
  <c r="K391" i="5" s="1"/>
  <c r="N391" i="5" s="1"/>
  <c r="J390" i="5"/>
  <c r="K390" i="5" s="1"/>
  <c r="N390" i="5" s="1"/>
  <c r="K389" i="5"/>
  <c r="N389" i="5" s="1"/>
  <c r="K385" i="5"/>
  <c r="N385" i="5" s="1"/>
  <c r="J384" i="5"/>
  <c r="K384" i="5" s="1"/>
  <c r="N384" i="5" s="1"/>
  <c r="J383" i="5"/>
  <c r="K383" i="5" s="1"/>
  <c r="N383" i="5" s="1"/>
  <c r="K382" i="5"/>
  <c r="N382" i="5" s="1"/>
  <c r="G380" i="5"/>
  <c r="E380" i="5"/>
  <c r="J377" i="5"/>
  <c r="K377" i="5" s="1"/>
  <c r="N377" i="5" s="1"/>
  <c r="J376" i="5"/>
  <c r="K376" i="5" s="1"/>
  <c r="N376" i="5" s="1"/>
  <c r="G374" i="5"/>
  <c r="E374" i="5"/>
  <c r="J371" i="5"/>
  <c r="K371" i="5" s="1"/>
  <c r="N371" i="5" s="1"/>
  <c r="J370" i="5"/>
  <c r="K370" i="5" s="1"/>
  <c r="N370" i="5" s="1"/>
  <c r="N374" i="5" s="1"/>
  <c r="G368" i="5"/>
  <c r="E368" i="5"/>
  <c r="J364" i="5"/>
  <c r="K364" i="5" s="1"/>
  <c r="N364" i="5" s="1"/>
  <c r="J363" i="5"/>
  <c r="K363" i="5" s="1"/>
  <c r="N363" i="5" s="1"/>
  <c r="N368" i="5" s="1"/>
  <c r="G361" i="5"/>
  <c r="E361" i="5"/>
  <c r="J357" i="5"/>
  <c r="K357" i="5" s="1"/>
  <c r="N357" i="5" s="1"/>
  <c r="J356" i="5"/>
  <c r="K356" i="5" s="1"/>
  <c r="N356" i="5" s="1"/>
  <c r="J350" i="5"/>
  <c r="K350" i="5" s="1"/>
  <c r="N350" i="5" s="1"/>
  <c r="J349" i="5"/>
  <c r="K349" i="5" s="1"/>
  <c r="N349" i="5" s="1"/>
  <c r="J343" i="5"/>
  <c r="K343" i="5" s="1"/>
  <c r="N343" i="5" s="1"/>
  <c r="J342" i="5"/>
  <c r="K342" i="5" s="1"/>
  <c r="N342" i="5" s="1"/>
  <c r="N347" i="5" s="1"/>
  <c r="J336" i="5"/>
  <c r="K336" i="5" s="1"/>
  <c r="N336" i="5" s="1"/>
  <c r="N340" i="5" s="1"/>
  <c r="O6" i="10"/>
  <c r="I6" i="10"/>
  <c r="G514" i="2"/>
  <c r="E514" i="2"/>
  <c r="G417" i="2"/>
  <c r="E417" i="2"/>
  <c r="E431" i="2"/>
  <c r="J410" i="2"/>
  <c r="K410" i="2" s="1"/>
  <c r="N410" i="2" s="1"/>
  <c r="J414" i="2"/>
  <c r="K414" i="2" s="1"/>
  <c r="N414" i="2" s="1"/>
  <c r="J420" i="2"/>
  <c r="K420" i="2" s="1"/>
  <c r="N420" i="2" s="1"/>
  <c r="J421" i="2"/>
  <c r="K421" i="2" s="1"/>
  <c r="N421" i="2" s="1"/>
  <c r="J422" i="2"/>
  <c r="K422" i="2" s="1"/>
  <c r="N422" i="2" s="1"/>
  <c r="J423" i="2"/>
  <c r="K423" i="2" s="1"/>
  <c r="N423" i="2" s="1"/>
  <c r="E424" i="2"/>
  <c r="G424" i="2"/>
  <c r="J426" i="2"/>
  <c r="K426" i="2" s="1"/>
  <c r="N426" i="2" s="1"/>
  <c r="J427" i="2"/>
  <c r="K427" i="2" s="1"/>
  <c r="N427" i="2" s="1"/>
  <c r="J429" i="2"/>
  <c r="K429" i="2" s="1"/>
  <c r="N429" i="2" s="1"/>
  <c r="G431" i="2"/>
  <c r="E439" i="2"/>
  <c r="J512" i="2"/>
  <c r="K512" i="2" s="1"/>
  <c r="N512" i="2" s="1"/>
  <c r="J511" i="2"/>
  <c r="K511" i="2" s="1"/>
  <c r="N511" i="2" s="1"/>
  <c r="J510" i="2"/>
  <c r="K510" i="2" s="1"/>
  <c r="N510" i="2" s="1"/>
  <c r="J509" i="2"/>
  <c r="K509" i="2" s="1"/>
  <c r="N509" i="2" s="1"/>
  <c r="J508" i="2"/>
  <c r="K508" i="2" s="1"/>
  <c r="N508" i="2" s="1"/>
  <c r="J507" i="2"/>
  <c r="K507" i="2" s="1"/>
  <c r="N507" i="2" s="1"/>
  <c r="J506" i="2"/>
  <c r="K506" i="2" s="1"/>
  <c r="N506" i="2" s="1"/>
  <c r="J505" i="2"/>
  <c r="K505" i="2" s="1"/>
  <c r="N505" i="2" s="1"/>
  <c r="N504" i="2"/>
  <c r="J504" i="2"/>
  <c r="G501" i="2"/>
  <c r="E501" i="2"/>
  <c r="L500" i="2"/>
  <c r="K499" i="2"/>
  <c r="N499" i="2" s="1"/>
  <c r="J498" i="2"/>
  <c r="K498" i="2" s="1"/>
  <c r="N498" i="2" s="1"/>
  <c r="J497" i="2"/>
  <c r="K497" i="2" s="1"/>
  <c r="N497" i="2" s="1"/>
  <c r="J496" i="2"/>
  <c r="K496" i="2" s="1"/>
  <c r="N496" i="2" s="1"/>
  <c r="J495" i="2"/>
  <c r="K495" i="2" s="1"/>
  <c r="N495" i="2" s="1"/>
  <c r="J494" i="2"/>
  <c r="K494" i="2" s="1"/>
  <c r="N494" i="2" s="1"/>
  <c r="J493" i="2"/>
  <c r="K493" i="2" s="1"/>
  <c r="N493" i="2" s="1"/>
  <c r="J492" i="2"/>
  <c r="K492" i="2" s="1"/>
  <c r="N492" i="2" s="1"/>
  <c r="G490" i="2"/>
  <c r="E490" i="2"/>
  <c r="K488" i="2"/>
  <c r="N488" i="2" s="1"/>
  <c r="J487" i="2"/>
  <c r="K487" i="2" s="1"/>
  <c r="N487" i="2" s="1"/>
  <c r="J486" i="2"/>
  <c r="K486" i="2" s="1"/>
  <c r="N486" i="2" s="1"/>
  <c r="J485" i="2"/>
  <c r="K485" i="2" s="1"/>
  <c r="N485" i="2" s="1"/>
  <c r="J484" i="2"/>
  <c r="K484" i="2" s="1"/>
  <c r="N484" i="2" s="1"/>
  <c r="J483" i="2"/>
  <c r="K483" i="2" s="1"/>
  <c r="N483" i="2" s="1"/>
  <c r="J482" i="2"/>
  <c r="K482" i="2" s="1"/>
  <c r="N482" i="2" s="1"/>
  <c r="J481" i="2"/>
  <c r="K481" i="2" s="1"/>
  <c r="N481" i="2" s="1"/>
  <c r="G479" i="2"/>
  <c r="E479" i="2"/>
  <c r="J477" i="2"/>
  <c r="K477" i="2" s="1"/>
  <c r="N477" i="2" s="1"/>
  <c r="K476" i="2"/>
  <c r="N476" i="2" s="1"/>
  <c r="K475" i="2"/>
  <c r="N475" i="2" s="1"/>
  <c r="J474" i="2"/>
  <c r="K474" i="2" s="1"/>
  <c r="N474" i="2" s="1"/>
  <c r="J473" i="2"/>
  <c r="K473" i="2" s="1"/>
  <c r="N473" i="2" s="1"/>
  <c r="J472" i="2"/>
  <c r="K472" i="2" s="1"/>
  <c r="N472" i="2" s="1"/>
  <c r="J471" i="2"/>
  <c r="K471" i="2" s="1"/>
  <c r="N471" i="2" s="1"/>
  <c r="K470" i="2"/>
  <c r="N470" i="2" s="1"/>
  <c r="G467" i="2"/>
  <c r="E467" i="2"/>
  <c r="J463" i="2"/>
  <c r="K463" i="2" s="1"/>
  <c r="N463" i="2" s="1"/>
  <c r="J462" i="2"/>
  <c r="K462" i="2" s="1"/>
  <c r="N462" i="2" s="1"/>
  <c r="J461" i="2"/>
  <c r="K461" i="2" s="1"/>
  <c r="N461" i="2" s="1"/>
  <c r="J460" i="2"/>
  <c r="K460" i="2" s="1"/>
  <c r="N460" i="2" s="1"/>
  <c r="J459" i="2"/>
  <c r="K459" i="2" s="1"/>
  <c r="N459" i="2" s="1"/>
  <c r="J458" i="2"/>
  <c r="K458" i="2" s="1"/>
  <c r="N458" i="2" s="1"/>
  <c r="G455" i="2"/>
  <c r="E455" i="2"/>
  <c r="J454" i="2"/>
  <c r="K454" i="2" s="1"/>
  <c r="N454" i="2" s="1"/>
  <c r="J453" i="2"/>
  <c r="K453" i="2" s="1"/>
  <c r="N453" i="2" s="1"/>
  <c r="J452" i="2"/>
  <c r="K452" i="2" s="1"/>
  <c r="N452" i="2" s="1"/>
  <c r="J451" i="2"/>
  <c r="K451" i="2" s="1"/>
  <c r="N451" i="2" s="1"/>
  <c r="J450" i="2"/>
  <c r="K450" i="2" s="1"/>
  <c r="N450" i="2" s="1"/>
  <c r="J449" i="2"/>
  <c r="K449" i="2" s="1"/>
  <c r="N449" i="2" s="1"/>
  <c r="G447" i="2"/>
  <c r="E447" i="2"/>
  <c r="J446" i="2"/>
  <c r="K446" i="2" s="1"/>
  <c r="N446" i="2" s="1"/>
  <c r="J445" i="2"/>
  <c r="K445" i="2" s="1"/>
  <c r="N445" i="2" s="1"/>
  <c r="J444" i="2"/>
  <c r="K444" i="2" s="1"/>
  <c r="N444" i="2" s="1"/>
  <c r="J443" i="2"/>
  <c r="K443" i="2" s="1"/>
  <c r="N443" i="2" s="1"/>
  <c r="J442" i="2"/>
  <c r="K442" i="2" s="1"/>
  <c r="N442" i="2" s="1"/>
  <c r="J441" i="2"/>
  <c r="K441" i="2" s="1"/>
  <c r="N441" i="2" s="1"/>
  <c r="G439" i="2"/>
  <c r="J438" i="2"/>
  <c r="J437" i="2"/>
  <c r="K437" i="2" s="1"/>
  <c r="N437" i="2" s="1"/>
  <c r="J436" i="2"/>
  <c r="K436" i="2" s="1"/>
  <c r="N436" i="2" s="1"/>
  <c r="J435" i="2"/>
  <c r="K435" i="2" s="1"/>
  <c r="N435" i="2" s="1"/>
  <c r="J434" i="2"/>
  <c r="K434" i="2" s="1"/>
  <c r="N434" i="2" s="1"/>
  <c r="J433" i="2"/>
  <c r="K433" i="2" s="1"/>
  <c r="N433" i="2" s="1"/>
  <c r="K430" i="2"/>
  <c r="N430" i="2" s="1"/>
  <c r="J428" i="2"/>
  <c r="K428" i="2" s="1"/>
  <c r="N428" i="2" s="1"/>
  <c r="J419" i="2"/>
  <c r="K419" i="2" s="1"/>
  <c r="N419" i="2" s="1"/>
  <c r="J413" i="2"/>
  <c r="K413" i="2" s="1"/>
  <c r="N413" i="2" s="1"/>
  <c r="J412" i="2"/>
  <c r="K412" i="2" s="1"/>
  <c r="N412" i="2" s="1"/>
  <c r="J411" i="2"/>
  <c r="K411" i="2" s="1"/>
  <c r="N411" i="2" s="1"/>
  <c r="D15" i="1"/>
  <c r="E15" i="1"/>
  <c r="F15" i="1"/>
  <c r="G15" i="1"/>
  <c r="H15" i="1"/>
  <c r="I15" i="1"/>
  <c r="J15" i="1"/>
  <c r="K15" i="1"/>
  <c r="L15" i="1"/>
  <c r="M15" i="1"/>
  <c r="N15" i="1"/>
  <c r="D14" i="1"/>
  <c r="E14" i="1"/>
  <c r="F14" i="1"/>
  <c r="G14" i="1"/>
  <c r="H14" i="1"/>
  <c r="I14" i="1"/>
  <c r="J14" i="1"/>
  <c r="K14" i="1"/>
  <c r="L14" i="1"/>
  <c r="M14" i="1"/>
  <c r="N14" i="1"/>
  <c r="K258" i="7"/>
  <c r="N258" i="7" s="1"/>
  <c r="K257" i="7"/>
  <c r="N257" i="7" s="1"/>
  <c r="N260" i="7" s="1"/>
  <c r="K256" i="7"/>
  <c r="N256" i="7" s="1"/>
  <c r="K250" i="7"/>
  <c r="N250" i="7" s="1"/>
  <c r="K244" i="7"/>
  <c r="N244" i="7" s="1"/>
  <c r="K239" i="7"/>
  <c r="N239" i="7" s="1"/>
  <c r="K238" i="7"/>
  <c r="N238" i="7" s="1"/>
  <c r="K279" i="5"/>
  <c r="N279" i="5" s="1"/>
  <c r="K273" i="5"/>
  <c r="N273" i="5" s="1"/>
  <c r="K264" i="5"/>
  <c r="N264" i="5" s="1"/>
  <c r="K258" i="5"/>
  <c r="N258" i="5" s="1"/>
  <c r="K255" i="5"/>
  <c r="N255" i="5" s="1"/>
  <c r="K252" i="5"/>
  <c r="N252" i="5" s="1"/>
  <c r="N325" i="2"/>
  <c r="K320" i="2"/>
  <c r="N320" i="2" s="1"/>
  <c r="K308" i="2"/>
  <c r="N308" i="2" s="1"/>
  <c r="K294" i="2"/>
  <c r="N294" i="2" s="1"/>
  <c r="K293" i="2"/>
  <c r="N293" i="2" s="1"/>
  <c r="K288" i="2"/>
  <c r="N288" i="2" s="1"/>
  <c r="K238" i="2"/>
  <c r="N238" i="2" s="1"/>
  <c r="I261" i="5"/>
  <c r="J261" i="5" s="1"/>
  <c r="K261" i="5" s="1"/>
  <c r="N261" i="5" s="1"/>
  <c r="I260" i="5"/>
  <c r="J260" i="5" s="1"/>
  <c r="K260" i="5" s="1"/>
  <c r="N260" i="5" s="1"/>
  <c r="I259" i="5"/>
  <c r="J259" i="5" s="1"/>
  <c r="K259" i="5" s="1"/>
  <c r="N259" i="5" s="1"/>
  <c r="I267" i="5"/>
  <c r="J267" i="5" s="1"/>
  <c r="K267" i="5" s="1"/>
  <c r="N267" i="5" s="1"/>
  <c r="I266" i="5"/>
  <c r="J266" i="5" s="1"/>
  <c r="K266" i="5" s="1"/>
  <c r="N266" i="5" s="1"/>
  <c r="I265" i="5"/>
  <c r="H261" i="5"/>
  <c r="H260" i="5"/>
  <c r="H259" i="5"/>
  <c r="I278" i="5"/>
  <c r="J278" i="5" s="1"/>
  <c r="K278" i="5" s="1"/>
  <c r="N278" i="5" s="1"/>
  <c r="H278" i="5"/>
  <c r="I277" i="5"/>
  <c r="J277" i="5" s="1"/>
  <c r="K277" i="5" s="1"/>
  <c r="N277" i="5" s="1"/>
  <c r="H277" i="5"/>
  <c r="I276" i="5"/>
  <c r="J276" i="5" s="1"/>
  <c r="K276" i="5" s="1"/>
  <c r="N276" i="5" s="1"/>
  <c r="H276" i="5"/>
  <c r="I331" i="2"/>
  <c r="J331" i="2" s="1"/>
  <c r="K331" i="2" s="1"/>
  <c r="N331" i="2" s="1"/>
  <c r="I332" i="2"/>
  <c r="J332" i="2" s="1"/>
  <c r="K332" i="2" s="1"/>
  <c r="N332" i="2" s="1"/>
  <c r="I333" i="2"/>
  <c r="J333" i="2" s="1"/>
  <c r="K333" i="2" s="1"/>
  <c r="N333" i="2" s="1"/>
  <c r="H327" i="2"/>
  <c r="H328" i="2"/>
  <c r="H329" i="2"/>
  <c r="H330" i="2"/>
  <c r="H331" i="2"/>
  <c r="H332" i="2"/>
  <c r="H333" i="2"/>
  <c r="H326" i="2"/>
  <c r="N167" i="2"/>
  <c r="N354" i="2" s="1"/>
  <c r="D13" i="1"/>
  <c r="E13" i="1"/>
  <c r="F13" i="1"/>
  <c r="H13" i="1"/>
  <c r="C13" i="1"/>
  <c r="U15" i="1"/>
  <c r="N339" i="2"/>
  <c r="N353" i="2" s="1"/>
  <c r="O350" i="2"/>
  <c r="O342" i="2"/>
  <c r="O344" i="2"/>
  <c r="G254" i="7"/>
  <c r="E254" i="7"/>
  <c r="I252" i="7"/>
  <c r="J252" i="7" s="1"/>
  <c r="K252" i="7" s="1"/>
  <c r="N252" i="7" s="1"/>
  <c r="H252" i="7"/>
  <c r="I251" i="7"/>
  <c r="J251" i="7" s="1"/>
  <c r="K251" i="7" s="1"/>
  <c r="N251" i="7" s="1"/>
  <c r="H251" i="7"/>
  <c r="G268" i="5"/>
  <c r="G274" i="5" s="1"/>
  <c r="E268" i="5"/>
  <c r="E274" i="5" s="1"/>
  <c r="G322" i="2"/>
  <c r="E322" i="2"/>
  <c r="G310" i="2"/>
  <c r="E310" i="2"/>
  <c r="G297" i="2"/>
  <c r="E297" i="2"/>
  <c r="I271" i="5"/>
  <c r="J271" i="5" s="1"/>
  <c r="K271" i="5" s="1"/>
  <c r="N271" i="5" s="1"/>
  <c r="I272" i="5"/>
  <c r="J272" i="5" s="1"/>
  <c r="K272" i="5" s="1"/>
  <c r="N272" i="5" s="1"/>
  <c r="H271" i="5"/>
  <c r="H272" i="5"/>
  <c r="I270" i="5"/>
  <c r="J270" i="5" s="1"/>
  <c r="K270" i="5" s="1"/>
  <c r="N270" i="5" s="1"/>
  <c r="H270" i="5"/>
  <c r="L321" i="2"/>
  <c r="I325" i="2"/>
  <c r="J325" i="2" s="1"/>
  <c r="I326" i="2"/>
  <c r="J326" i="2" s="1"/>
  <c r="K326" i="2" s="1"/>
  <c r="N326" i="2" s="1"/>
  <c r="I327" i="2"/>
  <c r="J327" i="2" s="1"/>
  <c r="K327" i="2" s="1"/>
  <c r="N327" i="2" s="1"/>
  <c r="I328" i="2"/>
  <c r="J328" i="2" s="1"/>
  <c r="K328" i="2" s="1"/>
  <c r="N328" i="2" s="1"/>
  <c r="I329" i="2"/>
  <c r="J329" i="2" s="1"/>
  <c r="K329" i="2" s="1"/>
  <c r="N329" i="2" s="1"/>
  <c r="I330" i="2"/>
  <c r="J330" i="2" s="1"/>
  <c r="K330" i="2" s="1"/>
  <c r="N330" i="2" s="1"/>
  <c r="I319" i="2"/>
  <c r="J319" i="2" s="1"/>
  <c r="K319" i="2" s="1"/>
  <c r="N319" i="2" s="1"/>
  <c r="H319" i="2"/>
  <c r="I318" i="2"/>
  <c r="J318" i="2" s="1"/>
  <c r="K318" i="2" s="1"/>
  <c r="N318" i="2" s="1"/>
  <c r="H318" i="2"/>
  <c r="I317" i="2"/>
  <c r="J317" i="2" s="1"/>
  <c r="K317" i="2" s="1"/>
  <c r="N317" i="2" s="1"/>
  <c r="H317" i="2"/>
  <c r="I316" i="2"/>
  <c r="J316" i="2" s="1"/>
  <c r="K316" i="2" s="1"/>
  <c r="N316" i="2" s="1"/>
  <c r="H316" i="2"/>
  <c r="I315" i="2"/>
  <c r="J315" i="2" s="1"/>
  <c r="K315" i="2" s="1"/>
  <c r="N315" i="2" s="1"/>
  <c r="H315" i="2"/>
  <c r="I314" i="2"/>
  <c r="J314" i="2" s="1"/>
  <c r="K314" i="2" s="1"/>
  <c r="N314" i="2" s="1"/>
  <c r="I313" i="2"/>
  <c r="J313" i="2" s="1"/>
  <c r="K313" i="2" s="1"/>
  <c r="N313" i="2" s="1"/>
  <c r="H313" i="2"/>
  <c r="M165" i="2"/>
  <c r="M167" i="2" s="1"/>
  <c r="M339" i="2" s="1"/>
  <c r="M353" i="2" s="1"/>
  <c r="O163" i="2"/>
  <c r="O164" i="2"/>
  <c r="H307" i="2"/>
  <c r="I307" i="2"/>
  <c r="J307" i="2" s="1"/>
  <c r="K307" i="2" s="1"/>
  <c r="N307" i="2" s="1"/>
  <c r="I306" i="2"/>
  <c r="J306" i="2" s="1"/>
  <c r="K306" i="2" s="1"/>
  <c r="N306" i="2" s="1"/>
  <c r="H306" i="2"/>
  <c r="I305" i="2"/>
  <c r="J305" i="2" s="1"/>
  <c r="K305" i="2" s="1"/>
  <c r="N305" i="2" s="1"/>
  <c r="H305" i="2"/>
  <c r="H302" i="2"/>
  <c r="I302" i="2"/>
  <c r="J302" i="2" s="1"/>
  <c r="K302" i="2" s="1"/>
  <c r="N302" i="2" s="1"/>
  <c r="H303" i="2"/>
  <c r="I303" i="2"/>
  <c r="J303" i="2" s="1"/>
  <c r="K303" i="2" s="1"/>
  <c r="N303" i="2" s="1"/>
  <c r="H304" i="2"/>
  <c r="I304" i="2"/>
  <c r="J304" i="2" s="1"/>
  <c r="K304" i="2" s="1"/>
  <c r="N304" i="2" s="1"/>
  <c r="H267" i="5"/>
  <c r="H266" i="5"/>
  <c r="I301" i="2"/>
  <c r="J301" i="2" s="1"/>
  <c r="K301" i="2" s="1"/>
  <c r="N301" i="2" s="1"/>
  <c r="H301" i="2"/>
  <c r="I254" i="5"/>
  <c r="J254" i="5" s="1"/>
  <c r="K254" i="5" s="1"/>
  <c r="N254" i="5" s="1"/>
  <c r="J265" i="5"/>
  <c r="K265" i="5" s="1"/>
  <c r="N265" i="5" s="1"/>
  <c r="H265" i="5"/>
  <c r="G248" i="7"/>
  <c r="E248" i="7"/>
  <c r="I246" i="7"/>
  <c r="J246" i="7" s="1"/>
  <c r="K246" i="7" s="1"/>
  <c r="N246" i="7" s="1"/>
  <c r="N248" i="7" s="1"/>
  <c r="I245" i="7"/>
  <c r="J245" i="7" s="1"/>
  <c r="K245" i="7" s="1"/>
  <c r="N245" i="7" s="1"/>
  <c r="H246" i="7"/>
  <c r="H245" i="7"/>
  <c r="L155" i="7"/>
  <c r="J155" i="7"/>
  <c r="K155" i="7"/>
  <c r="L181" i="5"/>
  <c r="L180" i="5"/>
  <c r="L162" i="7"/>
  <c r="L161" i="7"/>
  <c r="L187" i="2"/>
  <c r="L188" i="2" s="1"/>
  <c r="L183" i="2"/>
  <c r="I290" i="2"/>
  <c r="J290" i="2" s="1"/>
  <c r="K290" i="2" s="1"/>
  <c r="N290" i="2" s="1"/>
  <c r="I291" i="2"/>
  <c r="J291" i="2" s="1"/>
  <c r="K291" i="2" s="1"/>
  <c r="N291" i="2" s="1"/>
  <c r="I292" i="2"/>
  <c r="J292" i="2" s="1"/>
  <c r="K292" i="2" s="1"/>
  <c r="N292" i="2" s="1"/>
  <c r="I293" i="2"/>
  <c r="I294" i="2"/>
  <c r="I295" i="2"/>
  <c r="J295" i="2" s="1"/>
  <c r="K295" i="2" s="1"/>
  <c r="N295" i="2" s="1"/>
  <c r="I296" i="2"/>
  <c r="H290" i="2"/>
  <c r="I289" i="2"/>
  <c r="J289" i="2" s="1"/>
  <c r="K289" i="2" s="1"/>
  <c r="N289" i="2" s="1"/>
  <c r="H289" i="2"/>
  <c r="K162" i="7"/>
  <c r="K161" i="7"/>
  <c r="K181" i="5"/>
  <c r="K180" i="5"/>
  <c r="K189" i="2"/>
  <c r="K187" i="2"/>
  <c r="I253" i="5"/>
  <c r="J253" i="5" s="1"/>
  <c r="K253" i="5" s="1"/>
  <c r="N253" i="5" s="1"/>
  <c r="H254" i="5"/>
  <c r="H253" i="5"/>
  <c r="G285" i="2"/>
  <c r="E285" i="2"/>
  <c r="J189" i="2"/>
  <c r="J187" i="2"/>
  <c r="J183" i="2"/>
  <c r="C4" i="1"/>
  <c r="D4" i="1"/>
  <c r="E4" i="1"/>
  <c r="F4" i="1"/>
  <c r="G4" i="1"/>
  <c r="H4" i="1"/>
  <c r="I4" i="1"/>
  <c r="J4" i="1"/>
  <c r="K4" i="1"/>
  <c r="L4" i="1"/>
  <c r="M4" i="1"/>
  <c r="N4" i="1"/>
  <c r="C5" i="1"/>
  <c r="D5" i="1"/>
  <c r="E5" i="1"/>
  <c r="F5" i="1"/>
  <c r="G5" i="1"/>
  <c r="H5" i="1"/>
  <c r="I5" i="1"/>
  <c r="J5" i="1"/>
  <c r="K5" i="1"/>
  <c r="L5" i="1"/>
  <c r="M5" i="1"/>
  <c r="N5" i="1"/>
  <c r="O3" i="10"/>
  <c r="C387" i="2" l="1"/>
  <c r="C385" i="2"/>
  <c r="C353" i="2"/>
  <c r="C362" i="2"/>
  <c r="I408" i="2"/>
  <c r="J408" i="2" s="1"/>
  <c r="K408" i="2" s="1"/>
  <c r="N315" i="7"/>
  <c r="K400" i="2"/>
  <c r="N400" i="2" s="1"/>
  <c r="N408" i="2" s="1"/>
  <c r="C271" i="7"/>
  <c r="C16" i="1"/>
  <c r="C290" i="5"/>
  <c r="M354" i="2"/>
  <c r="N254" i="7"/>
  <c r="N242" i="7"/>
  <c r="N373" i="7"/>
  <c r="N322" i="7"/>
  <c r="N329" i="7"/>
  <c r="N336" i="7"/>
  <c r="N379" i="7"/>
  <c r="N337" i="5"/>
  <c r="N354" i="5"/>
  <c r="N406" i="5"/>
  <c r="N361" i="5"/>
  <c r="N380" i="5"/>
  <c r="N413" i="5"/>
  <c r="N387" i="5"/>
  <c r="N394" i="5"/>
  <c r="N400" i="5"/>
  <c r="N489" i="2"/>
  <c r="N500" i="2"/>
  <c r="N431" i="2"/>
  <c r="N478" i="2"/>
  <c r="N424" i="2"/>
  <c r="N417" i="2"/>
  <c r="N465" i="2"/>
  <c r="N513" i="2"/>
  <c r="N256" i="5"/>
  <c r="N274" i="5"/>
  <c r="N268" i="5"/>
  <c r="N280" i="5"/>
  <c r="N262" i="5"/>
  <c r="N309" i="2"/>
  <c r="N334" i="2"/>
  <c r="N321" i="2"/>
  <c r="N296" i="2"/>
  <c r="M340" i="2"/>
  <c r="N340" i="2"/>
  <c r="O14" i="1"/>
  <c r="O269" i="7"/>
  <c r="O341" i="2"/>
  <c r="O4" i="1"/>
  <c r="O5" i="1"/>
  <c r="I281" i="2"/>
  <c r="J281" i="2" s="1"/>
  <c r="K281" i="2" s="1"/>
  <c r="N281" i="2" s="1"/>
  <c r="H281" i="2"/>
  <c r="I280" i="2"/>
  <c r="J280" i="2" s="1"/>
  <c r="K280" i="2" s="1"/>
  <c r="N280" i="2" s="1"/>
  <c r="H280" i="2"/>
  <c r="I279" i="2"/>
  <c r="J279" i="2" s="1"/>
  <c r="K279" i="2" s="1"/>
  <c r="N279" i="2" s="1"/>
  <c r="H279" i="2"/>
  <c r="I278" i="2"/>
  <c r="J278" i="2" s="1"/>
  <c r="K278" i="2" s="1"/>
  <c r="N278" i="2" s="1"/>
  <c r="H278" i="2"/>
  <c r="I277" i="2"/>
  <c r="J277" i="2" s="1"/>
  <c r="K277" i="2" s="1"/>
  <c r="N277" i="2" s="1"/>
  <c r="H277" i="2"/>
  <c r="I276" i="2"/>
  <c r="J276" i="2" s="1"/>
  <c r="K276" i="2" s="1"/>
  <c r="N276" i="2" s="1"/>
  <c r="H276" i="2"/>
  <c r="G273" i="2"/>
  <c r="E273" i="2"/>
  <c r="I269" i="2"/>
  <c r="J269" i="2" s="1"/>
  <c r="K269" i="2" s="1"/>
  <c r="N269" i="2" s="1"/>
  <c r="H269" i="2"/>
  <c r="I268" i="2"/>
  <c r="J268" i="2" s="1"/>
  <c r="K268" i="2" s="1"/>
  <c r="N268" i="2" s="1"/>
  <c r="H268" i="2"/>
  <c r="I267" i="2"/>
  <c r="J267" i="2" s="1"/>
  <c r="K267" i="2" s="1"/>
  <c r="N267" i="2" s="1"/>
  <c r="H267" i="2"/>
  <c r="I266" i="2"/>
  <c r="J266" i="2" s="1"/>
  <c r="K266" i="2" s="1"/>
  <c r="N266" i="2" s="1"/>
  <c r="H266" i="2"/>
  <c r="I265" i="2"/>
  <c r="J265" i="2" s="1"/>
  <c r="K265" i="2" s="1"/>
  <c r="N265" i="2" s="1"/>
  <c r="H265" i="2"/>
  <c r="I264" i="2"/>
  <c r="J264" i="2" s="1"/>
  <c r="K264" i="2" s="1"/>
  <c r="N264" i="2" s="1"/>
  <c r="H264" i="2"/>
  <c r="G250" i="5"/>
  <c r="E250" i="5"/>
  <c r="I247" i="5"/>
  <c r="J247" i="5" s="1"/>
  <c r="K247" i="5" s="1"/>
  <c r="N247" i="5" s="1"/>
  <c r="H247" i="5"/>
  <c r="I246" i="5"/>
  <c r="J246" i="5" s="1"/>
  <c r="K246" i="5" s="1"/>
  <c r="N246" i="5" s="1"/>
  <c r="H246" i="5"/>
  <c r="G236" i="7"/>
  <c r="E236" i="7"/>
  <c r="I233" i="7"/>
  <c r="J233" i="7" s="1"/>
  <c r="K233" i="7" s="1"/>
  <c r="N233" i="7" s="1"/>
  <c r="I232" i="7"/>
  <c r="J232" i="7" s="1"/>
  <c r="K232" i="7" s="1"/>
  <c r="N232" i="7" s="1"/>
  <c r="G230" i="7"/>
  <c r="E230" i="7"/>
  <c r="I227" i="7"/>
  <c r="J227" i="7" s="1"/>
  <c r="K227" i="7" s="1"/>
  <c r="N227" i="7" s="1"/>
  <c r="H227" i="7"/>
  <c r="I226" i="7"/>
  <c r="J226" i="7" s="1"/>
  <c r="K226" i="7" s="1"/>
  <c r="N226" i="7" s="1"/>
  <c r="H226" i="7"/>
  <c r="I155" i="7"/>
  <c r="I183" i="2"/>
  <c r="I166" i="2"/>
  <c r="O166" i="2" s="1"/>
  <c r="I189" i="2"/>
  <c r="I187" i="2"/>
  <c r="I181" i="5"/>
  <c r="I180" i="5"/>
  <c r="I162" i="7"/>
  <c r="I161" i="7"/>
  <c r="H165" i="2"/>
  <c r="H167" i="2" s="1"/>
  <c r="M398" i="2" l="1"/>
  <c r="C18" i="1"/>
  <c r="H340" i="2"/>
  <c r="H354" i="2"/>
  <c r="N283" i="2"/>
  <c r="N386" i="7"/>
  <c r="N414" i="5"/>
  <c r="N515" i="2"/>
  <c r="N230" i="7"/>
  <c r="N236" i="7"/>
  <c r="N250" i="5"/>
  <c r="N272" i="2"/>
  <c r="H181" i="2"/>
  <c r="P350" i="2"/>
  <c r="H183" i="2"/>
  <c r="G176" i="5"/>
  <c r="G210" i="7"/>
  <c r="G202" i="7"/>
  <c r="E202" i="7"/>
  <c r="E210" i="7"/>
  <c r="G218" i="2"/>
  <c r="E218" i="2"/>
  <c r="G225" i="2"/>
  <c r="E225" i="2"/>
  <c r="G232" i="2"/>
  <c r="E232" i="2"/>
  <c r="G261" i="2"/>
  <c r="E261" i="2"/>
  <c r="I257" i="2"/>
  <c r="J257" i="2" s="1"/>
  <c r="K257" i="2" s="1"/>
  <c r="N257" i="2" s="1"/>
  <c r="H257" i="2"/>
  <c r="I256" i="2"/>
  <c r="J256" i="2" s="1"/>
  <c r="K256" i="2" s="1"/>
  <c r="N256" i="2" s="1"/>
  <c r="H256" i="2"/>
  <c r="I255" i="2"/>
  <c r="J255" i="2" s="1"/>
  <c r="K255" i="2" s="1"/>
  <c r="N255" i="2" s="1"/>
  <c r="H255" i="2"/>
  <c r="I254" i="2"/>
  <c r="J254" i="2" s="1"/>
  <c r="K254" i="2" s="1"/>
  <c r="N254" i="2" s="1"/>
  <c r="H254" i="2"/>
  <c r="I253" i="2"/>
  <c r="J253" i="2" s="1"/>
  <c r="K253" i="2" s="1"/>
  <c r="N253" i="2" s="1"/>
  <c r="H253" i="2"/>
  <c r="I252" i="2"/>
  <c r="J252" i="2" s="1"/>
  <c r="K252" i="2" s="1"/>
  <c r="N252" i="2" s="1"/>
  <c r="H252" i="2"/>
  <c r="G244" i="5"/>
  <c r="E244" i="5"/>
  <c r="I241" i="5"/>
  <c r="J241" i="5" s="1"/>
  <c r="K241" i="5" s="1"/>
  <c r="N241" i="5" s="1"/>
  <c r="H241" i="5"/>
  <c r="I240" i="5"/>
  <c r="J240" i="5" s="1"/>
  <c r="K240" i="5" s="1"/>
  <c r="N240" i="5" s="1"/>
  <c r="H240" i="5"/>
  <c r="E224" i="7"/>
  <c r="G224" i="7"/>
  <c r="N244" i="5" l="1"/>
  <c r="N260" i="2"/>
  <c r="I221" i="7"/>
  <c r="J221" i="7" s="1"/>
  <c r="K221" i="7" s="1"/>
  <c r="N221" i="7" s="1"/>
  <c r="H221" i="7"/>
  <c r="I220" i="7"/>
  <c r="J220" i="7" s="1"/>
  <c r="K220" i="7" s="1"/>
  <c r="N220" i="7" s="1"/>
  <c r="H220" i="7"/>
  <c r="H187" i="2"/>
  <c r="H189" i="2"/>
  <c r="H181" i="5"/>
  <c r="H180" i="5"/>
  <c r="H162" i="7"/>
  <c r="H161" i="7"/>
  <c r="N224" i="7" l="1"/>
  <c r="G218" i="7"/>
  <c r="E218" i="7"/>
  <c r="I214" i="7"/>
  <c r="J214" i="7" s="1"/>
  <c r="K214" i="7" s="1"/>
  <c r="N214" i="7" s="1"/>
  <c r="H214" i="7"/>
  <c r="I213" i="7"/>
  <c r="J213" i="7" s="1"/>
  <c r="K213" i="7" s="1"/>
  <c r="N213" i="7" s="1"/>
  <c r="H213" i="7"/>
  <c r="G231" i="5"/>
  <c r="E231" i="5"/>
  <c r="G238" i="5"/>
  <c r="E238" i="5"/>
  <c r="I234" i="5"/>
  <c r="J234" i="5" s="1"/>
  <c r="K234" i="5" s="1"/>
  <c r="N234" i="5" s="1"/>
  <c r="H234" i="5"/>
  <c r="I233" i="5"/>
  <c r="J233" i="5" s="1"/>
  <c r="K233" i="5" s="1"/>
  <c r="N233" i="5" s="1"/>
  <c r="H233" i="5"/>
  <c r="I246" i="2"/>
  <c r="J246" i="2" s="1"/>
  <c r="H246" i="2"/>
  <c r="I245" i="2"/>
  <c r="J245" i="2" s="1"/>
  <c r="K245" i="2" s="1"/>
  <c r="N245" i="2" s="1"/>
  <c r="H245" i="2"/>
  <c r="G250" i="2"/>
  <c r="E250" i="2"/>
  <c r="I244" i="2"/>
  <c r="J244" i="2" s="1"/>
  <c r="K244" i="2" s="1"/>
  <c r="N244" i="2" s="1"/>
  <c r="H244" i="2"/>
  <c r="I243" i="2"/>
  <c r="J243" i="2" s="1"/>
  <c r="K243" i="2" s="1"/>
  <c r="N243" i="2" s="1"/>
  <c r="H243" i="2"/>
  <c r="I242" i="2"/>
  <c r="J242" i="2" s="1"/>
  <c r="K242" i="2" s="1"/>
  <c r="N242" i="2" s="1"/>
  <c r="H242" i="2"/>
  <c r="I241" i="2"/>
  <c r="J241" i="2" s="1"/>
  <c r="K241" i="2" s="1"/>
  <c r="N241" i="2" s="1"/>
  <c r="H241" i="2"/>
  <c r="G239" i="2"/>
  <c r="E239" i="2"/>
  <c r="G162" i="7"/>
  <c r="G161" i="7"/>
  <c r="G181" i="5"/>
  <c r="G180" i="5"/>
  <c r="G189" i="2"/>
  <c r="G187" i="2"/>
  <c r="F155" i="7"/>
  <c r="F176" i="5"/>
  <c r="F183" i="2"/>
  <c r="G173" i="2"/>
  <c r="N218" i="7" l="1"/>
  <c r="N248" i="2"/>
  <c r="N238" i="5"/>
  <c r="I207" i="7"/>
  <c r="J207" i="7" s="1"/>
  <c r="K207" i="7" s="1"/>
  <c r="N207" i="7" s="1"/>
  <c r="H207" i="7"/>
  <c r="I206" i="7"/>
  <c r="J206" i="7" s="1"/>
  <c r="K206" i="7" s="1"/>
  <c r="N206" i="7" s="1"/>
  <c r="H206" i="7"/>
  <c r="I227" i="5"/>
  <c r="J227" i="5" s="1"/>
  <c r="K227" i="5" s="1"/>
  <c r="N227" i="5" s="1"/>
  <c r="H227" i="5"/>
  <c r="I226" i="5"/>
  <c r="J226" i="5" s="1"/>
  <c r="K226" i="5" s="1"/>
  <c r="N226" i="5" s="1"/>
  <c r="H226" i="5"/>
  <c r="I237" i="2"/>
  <c r="J237" i="2" s="1"/>
  <c r="K237" i="2" s="1"/>
  <c r="N237" i="2" s="1"/>
  <c r="H237" i="2"/>
  <c r="I236" i="2"/>
  <c r="J236" i="2" s="1"/>
  <c r="K236" i="2" s="1"/>
  <c r="N236" i="2" s="1"/>
  <c r="H236" i="2"/>
  <c r="I235" i="2"/>
  <c r="J235" i="2" s="1"/>
  <c r="K235" i="2" s="1"/>
  <c r="N235" i="2" s="1"/>
  <c r="H235" i="2"/>
  <c r="I234" i="2"/>
  <c r="J234" i="2" s="1"/>
  <c r="K234" i="2" s="1"/>
  <c r="N234" i="2" s="1"/>
  <c r="H234" i="2"/>
  <c r="E176" i="5"/>
  <c r="E155" i="7"/>
  <c r="F162" i="7"/>
  <c r="F161" i="7"/>
  <c r="F163" i="7" s="1"/>
  <c r="F181" i="5"/>
  <c r="F180" i="5"/>
  <c r="F182" i="5" s="1"/>
  <c r="F189" i="2"/>
  <c r="F187" i="2"/>
  <c r="I231" i="2"/>
  <c r="J231" i="2" s="1"/>
  <c r="K231" i="2" s="1"/>
  <c r="N231" i="2" s="1"/>
  <c r="H231" i="2"/>
  <c r="I230" i="2"/>
  <c r="J230" i="2" s="1"/>
  <c r="K230" i="2" s="1"/>
  <c r="N230" i="2" s="1"/>
  <c r="H230" i="2"/>
  <c r="I229" i="2"/>
  <c r="J229" i="2" s="1"/>
  <c r="K229" i="2" s="1"/>
  <c r="N229" i="2" s="1"/>
  <c r="H229" i="2"/>
  <c r="I228" i="2"/>
  <c r="J228" i="2" s="1"/>
  <c r="K228" i="2" s="1"/>
  <c r="N228" i="2" s="1"/>
  <c r="H228" i="2"/>
  <c r="I227" i="2"/>
  <c r="J227" i="2" s="1"/>
  <c r="K227" i="2" s="1"/>
  <c r="N227" i="2" s="1"/>
  <c r="H227" i="2"/>
  <c r="H220" i="2"/>
  <c r="I220" i="2"/>
  <c r="J220" i="2" s="1"/>
  <c r="K220" i="2" s="1"/>
  <c r="N220" i="2" s="1"/>
  <c r="H200" i="7"/>
  <c r="I220" i="5"/>
  <c r="J220" i="5" s="1"/>
  <c r="K220" i="5" s="1"/>
  <c r="N220" i="5" s="1"/>
  <c r="H220" i="5"/>
  <c r="I219" i="5"/>
  <c r="H219" i="5"/>
  <c r="I200" i="7"/>
  <c r="J200" i="7" s="1"/>
  <c r="K200" i="7" s="1"/>
  <c r="N200" i="7" s="1"/>
  <c r="I199" i="7"/>
  <c r="J199" i="7" s="1"/>
  <c r="K199" i="7" s="1"/>
  <c r="N199" i="7" s="1"/>
  <c r="N204" i="7" s="1"/>
  <c r="H199" i="7"/>
  <c r="E162" i="7"/>
  <c r="E161" i="7"/>
  <c r="E163" i="7" s="1"/>
  <c r="E181" i="5"/>
  <c r="E180" i="5"/>
  <c r="E182" i="5" s="1"/>
  <c r="E189" i="2"/>
  <c r="E187" i="2"/>
  <c r="E188" i="2" s="1"/>
  <c r="I213" i="5"/>
  <c r="J213" i="5" s="1"/>
  <c r="K213" i="5" s="1"/>
  <c r="N213" i="5" s="1"/>
  <c r="H213" i="5"/>
  <c r="I212" i="5"/>
  <c r="J212" i="5" s="1"/>
  <c r="K212" i="5" s="1"/>
  <c r="N212" i="5" s="1"/>
  <c r="H212" i="5"/>
  <c r="I207" i="5"/>
  <c r="J207" i="5" s="1"/>
  <c r="K207" i="5" s="1"/>
  <c r="N207" i="5" s="1"/>
  <c r="H207" i="5"/>
  <c r="I206" i="5"/>
  <c r="J206" i="5" s="1"/>
  <c r="K206" i="5" s="1"/>
  <c r="N206" i="5" s="1"/>
  <c r="H206" i="5"/>
  <c r="I193" i="7"/>
  <c r="J193" i="7" s="1"/>
  <c r="K193" i="7" s="1"/>
  <c r="N193" i="7" s="1"/>
  <c r="H193" i="7"/>
  <c r="I192" i="7"/>
  <c r="J192" i="7" s="1"/>
  <c r="K192" i="7" s="1"/>
  <c r="N192" i="7" s="1"/>
  <c r="N197" i="7" s="1"/>
  <c r="H192" i="7"/>
  <c r="I187" i="7"/>
  <c r="J187" i="7" s="1"/>
  <c r="K187" i="7" s="1"/>
  <c r="N187" i="7" s="1"/>
  <c r="H187" i="7"/>
  <c r="I186" i="7"/>
  <c r="J186" i="7" s="1"/>
  <c r="K186" i="7" s="1"/>
  <c r="N186" i="7" s="1"/>
  <c r="N190" i="7" s="1"/>
  <c r="H186" i="7"/>
  <c r="I224" i="2"/>
  <c r="J224" i="2" s="1"/>
  <c r="K224" i="2" s="1"/>
  <c r="N224" i="2" s="1"/>
  <c r="I223" i="2"/>
  <c r="J223" i="2" s="1"/>
  <c r="K223" i="2" s="1"/>
  <c r="N223" i="2" s="1"/>
  <c r="H224" i="2"/>
  <c r="H223" i="2"/>
  <c r="I222" i="2"/>
  <c r="J222" i="2" s="1"/>
  <c r="K222" i="2" s="1"/>
  <c r="N222" i="2" s="1"/>
  <c r="H222" i="2"/>
  <c r="I221" i="2"/>
  <c r="J221" i="2" s="1"/>
  <c r="K221" i="2" s="1"/>
  <c r="N221" i="2" s="1"/>
  <c r="H221" i="2"/>
  <c r="I217" i="2"/>
  <c r="J217" i="2" s="1"/>
  <c r="K217" i="2" s="1"/>
  <c r="N217" i="2" s="1"/>
  <c r="H217" i="2"/>
  <c r="I216" i="2"/>
  <c r="J216" i="2" s="1"/>
  <c r="K216" i="2" s="1"/>
  <c r="N216" i="2" s="1"/>
  <c r="H216" i="2"/>
  <c r="I215" i="2"/>
  <c r="J215" i="2" s="1"/>
  <c r="K215" i="2" s="1"/>
  <c r="N215" i="2" s="1"/>
  <c r="H215" i="2"/>
  <c r="I214" i="2"/>
  <c r="J214" i="2" s="1"/>
  <c r="K214" i="2" s="1"/>
  <c r="N214" i="2" s="1"/>
  <c r="H214" i="2"/>
  <c r="I213" i="2"/>
  <c r="J213" i="2" s="1"/>
  <c r="K213" i="2" s="1"/>
  <c r="N213" i="2" s="1"/>
  <c r="H213" i="2"/>
  <c r="D183" i="2"/>
  <c r="D155" i="7"/>
  <c r="D176" i="5"/>
  <c r="D146" i="7"/>
  <c r="E146" i="7"/>
  <c r="F146" i="7"/>
  <c r="G146" i="7"/>
  <c r="H146" i="7"/>
  <c r="I146" i="7"/>
  <c r="J146" i="7"/>
  <c r="K146" i="7"/>
  <c r="L146" i="7"/>
  <c r="M146" i="7"/>
  <c r="N146" i="7"/>
  <c r="G163" i="7"/>
  <c r="H163" i="7"/>
  <c r="I163" i="7"/>
  <c r="J163" i="7"/>
  <c r="K163" i="7"/>
  <c r="L163" i="7"/>
  <c r="M163" i="7"/>
  <c r="N163" i="7"/>
  <c r="D162" i="7"/>
  <c r="D161" i="7"/>
  <c r="D163" i="7" s="1"/>
  <c r="G182" i="5"/>
  <c r="H182" i="5"/>
  <c r="I182" i="5"/>
  <c r="J182" i="5"/>
  <c r="K182" i="5"/>
  <c r="L182" i="5"/>
  <c r="M182" i="5"/>
  <c r="N182" i="5"/>
  <c r="D181" i="5"/>
  <c r="D180" i="5"/>
  <c r="D182" i="5" s="1"/>
  <c r="D189" i="2"/>
  <c r="D187" i="2"/>
  <c r="D188" i="2" s="1"/>
  <c r="C155" i="7"/>
  <c r="C176" i="5"/>
  <c r="C183" i="2"/>
  <c r="C146" i="7"/>
  <c r="D165" i="5"/>
  <c r="E165" i="5"/>
  <c r="F165" i="5"/>
  <c r="G165" i="5"/>
  <c r="H165" i="5"/>
  <c r="I165" i="5"/>
  <c r="J165" i="5"/>
  <c r="K165" i="5"/>
  <c r="L165" i="5"/>
  <c r="M165" i="5"/>
  <c r="N165" i="5"/>
  <c r="C165" i="5"/>
  <c r="N173" i="2"/>
  <c r="M173" i="2"/>
  <c r="L173" i="2"/>
  <c r="K173" i="2"/>
  <c r="J173" i="2"/>
  <c r="I173" i="2"/>
  <c r="H173" i="2"/>
  <c r="F173" i="2"/>
  <c r="E173" i="2"/>
  <c r="D173" i="2"/>
  <c r="C173" i="2"/>
  <c r="C162" i="7"/>
  <c r="C161" i="7"/>
  <c r="C163" i="7" s="1"/>
  <c r="C181" i="5"/>
  <c r="C180" i="5"/>
  <c r="C182" i="5" s="1"/>
  <c r="G191" i="2"/>
  <c r="H191" i="2"/>
  <c r="I191" i="2"/>
  <c r="J191" i="2"/>
  <c r="K191" i="2"/>
  <c r="L191" i="2"/>
  <c r="M191" i="2"/>
  <c r="N191" i="2"/>
  <c r="G188" i="2"/>
  <c r="H188" i="2"/>
  <c r="I188" i="2"/>
  <c r="J188" i="2"/>
  <c r="K188" i="2"/>
  <c r="M188" i="2"/>
  <c r="N188" i="2"/>
  <c r="C189" i="2"/>
  <c r="C187" i="2"/>
  <c r="C188" i="2" s="1"/>
  <c r="N231" i="5" l="1"/>
  <c r="N211" i="7"/>
  <c r="M184" i="7" s="1"/>
  <c r="N218" i="2"/>
  <c r="N239" i="2"/>
  <c r="N210" i="5"/>
  <c r="N217" i="5"/>
  <c r="N225" i="2"/>
  <c r="N232" i="2"/>
  <c r="C168" i="5"/>
  <c r="K168" i="5"/>
  <c r="G168" i="5"/>
  <c r="N168" i="5"/>
  <c r="J168" i="5"/>
  <c r="F168" i="5"/>
  <c r="M168" i="5"/>
  <c r="I168" i="5"/>
  <c r="E168" i="5"/>
  <c r="L168" i="5"/>
  <c r="H168" i="5"/>
  <c r="D168" i="5"/>
  <c r="J219" i="5"/>
  <c r="K219" i="5" s="1"/>
  <c r="N219" i="5" s="1"/>
  <c r="N224" i="5" s="1"/>
  <c r="F191" i="2"/>
  <c r="D191" i="2"/>
  <c r="C183" i="5"/>
  <c r="C164" i="7"/>
  <c r="F188" i="2"/>
  <c r="C191" i="2"/>
  <c r="E191" i="2"/>
  <c r="O56" i="5"/>
  <c r="O58" i="5"/>
  <c r="O57" i="5"/>
  <c r="O89" i="5"/>
  <c r="O90" i="5"/>
  <c r="N111" i="5"/>
  <c r="N110" i="5"/>
  <c r="N112" i="5" s="1"/>
  <c r="U4" i="1"/>
  <c r="N149" i="7"/>
  <c r="M149" i="7"/>
  <c r="L149" i="7"/>
  <c r="K149" i="7"/>
  <c r="J149" i="7"/>
  <c r="I149" i="7"/>
  <c r="H149" i="7"/>
  <c r="G149" i="7"/>
  <c r="F149" i="7"/>
  <c r="E149" i="7"/>
  <c r="D149" i="7"/>
  <c r="C149" i="7"/>
  <c r="M141" i="7"/>
  <c r="M265" i="7" s="1"/>
  <c r="M266" i="7" s="1"/>
  <c r="L141" i="7"/>
  <c r="K141" i="7"/>
  <c r="K265" i="7" s="1"/>
  <c r="K266" i="7" s="1"/>
  <c r="J141" i="7"/>
  <c r="J265" i="7" s="1"/>
  <c r="J266" i="7" s="1"/>
  <c r="I141" i="7"/>
  <c r="I265" i="7" s="1"/>
  <c r="I266" i="7" s="1"/>
  <c r="H141" i="7"/>
  <c r="H266" i="7" s="1"/>
  <c r="G141" i="7"/>
  <c r="F141" i="7"/>
  <c r="E141" i="7"/>
  <c r="D141" i="7"/>
  <c r="C141" i="7"/>
  <c r="M176" i="5"/>
  <c r="L176" i="5"/>
  <c r="K176" i="5"/>
  <c r="J176" i="5"/>
  <c r="I176" i="5"/>
  <c r="M159" i="5"/>
  <c r="L159" i="5"/>
  <c r="K159" i="5"/>
  <c r="J159" i="5"/>
  <c r="I159" i="5"/>
  <c r="H159" i="5"/>
  <c r="G159" i="5"/>
  <c r="F159" i="5"/>
  <c r="E159" i="5"/>
  <c r="D159" i="5"/>
  <c r="C159" i="5"/>
  <c r="C291" i="5" s="1"/>
  <c r="M183" i="2"/>
  <c r="K183" i="2"/>
  <c r="E183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L165" i="2"/>
  <c r="L167" i="2" s="1"/>
  <c r="K165" i="2"/>
  <c r="K167" i="2" s="1"/>
  <c r="J165" i="2"/>
  <c r="J167" i="2" s="1"/>
  <c r="I165" i="2"/>
  <c r="I167" i="2" s="1"/>
  <c r="G165" i="2"/>
  <c r="G167" i="2" s="1"/>
  <c r="F165" i="2"/>
  <c r="F167" i="2" s="1"/>
  <c r="E165" i="2"/>
  <c r="E167" i="2" s="1"/>
  <c r="D165" i="2"/>
  <c r="C165" i="2"/>
  <c r="N95" i="7"/>
  <c r="M95" i="7"/>
  <c r="L95" i="7"/>
  <c r="K95" i="7"/>
  <c r="J95" i="7"/>
  <c r="M97" i="5"/>
  <c r="M101" i="7"/>
  <c r="M100" i="7"/>
  <c r="M102" i="7" s="1"/>
  <c r="M111" i="5"/>
  <c r="M110" i="5"/>
  <c r="M112" i="5" s="1"/>
  <c r="M110" i="2"/>
  <c r="M108" i="2"/>
  <c r="M109" i="2" s="1"/>
  <c r="M105" i="5"/>
  <c r="M103" i="2"/>
  <c r="N87" i="7"/>
  <c r="M87" i="7"/>
  <c r="L87" i="7"/>
  <c r="L105" i="5"/>
  <c r="L103" i="2"/>
  <c r="L110" i="2"/>
  <c r="L108" i="2"/>
  <c r="L109" i="2" s="1"/>
  <c r="L111" i="5"/>
  <c r="L110" i="5"/>
  <c r="L112" i="5" s="1"/>
  <c r="L101" i="7"/>
  <c r="L100" i="7"/>
  <c r="L102" i="7" s="1"/>
  <c r="J100" i="7"/>
  <c r="K101" i="7"/>
  <c r="K100" i="7"/>
  <c r="K102" i="7" s="1"/>
  <c r="K105" i="5"/>
  <c r="J105" i="5"/>
  <c r="K111" i="5"/>
  <c r="K110" i="5"/>
  <c r="K112" i="5" s="1"/>
  <c r="K103" i="2"/>
  <c r="J103" i="2"/>
  <c r="N102" i="7"/>
  <c r="D102" i="7"/>
  <c r="D112" i="5"/>
  <c r="K110" i="2"/>
  <c r="K108" i="2"/>
  <c r="K109" i="2" s="1"/>
  <c r="C109" i="2"/>
  <c r="D109" i="2"/>
  <c r="J111" i="5"/>
  <c r="J110" i="5"/>
  <c r="J112" i="5" s="1"/>
  <c r="L285" i="5" l="1"/>
  <c r="L286" i="5" s="1"/>
  <c r="L174" i="5"/>
  <c r="M285" i="5"/>
  <c r="M286" i="5" s="1"/>
  <c r="M174" i="5"/>
  <c r="K339" i="2"/>
  <c r="K353" i="2" s="1"/>
  <c r="K354" i="2"/>
  <c r="L339" i="2"/>
  <c r="L353" i="2" s="1"/>
  <c r="L354" i="2"/>
  <c r="I339" i="2"/>
  <c r="I353" i="2" s="1"/>
  <c r="I354" i="2"/>
  <c r="F340" i="2"/>
  <c r="F354" i="2"/>
  <c r="G339" i="2"/>
  <c r="G353" i="2" s="1"/>
  <c r="G354" i="2"/>
  <c r="E340" i="2"/>
  <c r="E354" i="2"/>
  <c r="J339" i="2"/>
  <c r="J353" i="2" s="1"/>
  <c r="J354" i="2"/>
  <c r="M204" i="5"/>
  <c r="N281" i="5"/>
  <c r="N261" i="7"/>
  <c r="N336" i="2"/>
  <c r="M211" i="2"/>
  <c r="D167" i="2"/>
  <c r="D6" i="1"/>
  <c r="C167" i="2"/>
  <c r="C354" i="2" s="1"/>
  <c r="C6" i="1"/>
  <c r="F158" i="7"/>
  <c r="F266" i="7"/>
  <c r="D158" i="7"/>
  <c r="D266" i="7"/>
  <c r="C158" i="7"/>
  <c r="C266" i="7"/>
  <c r="G158" i="7"/>
  <c r="G266" i="7"/>
  <c r="E158" i="7"/>
  <c r="E266" i="7"/>
  <c r="F174" i="5"/>
  <c r="F286" i="5"/>
  <c r="G174" i="5"/>
  <c r="G286" i="5"/>
  <c r="D174" i="5"/>
  <c r="D286" i="5"/>
  <c r="H174" i="5"/>
  <c r="H286" i="5"/>
  <c r="C174" i="5"/>
  <c r="C286" i="5"/>
  <c r="E174" i="5"/>
  <c r="E286" i="5"/>
  <c r="L158" i="7"/>
  <c r="L265" i="7"/>
  <c r="L266" i="7" s="1"/>
  <c r="K174" i="5"/>
  <c r="K285" i="5"/>
  <c r="K286" i="5" s="1"/>
  <c r="I174" i="5"/>
  <c r="I285" i="5"/>
  <c r="O15" i="1"/>
  <c r="J174" i="5"/>
  <c r="J285" i="5"/>
  <c r="J286" i="5" s="1"/>
  <c r="C181" i="2"/>
  <c r="G181" i="2"/>
  <c r="D181" i="2"/>
  <c r="E181" i="2"/>
  <c r="J181" i="2"/>
  <c r="F181" i="2"/>
  <c r="K181" i="2"/>
  <c r="M6" i="1"/>
  <c r="L181" i="2"/>
  <c r="L6" i="1"/>
  <c r="I6" i="1"/>
  <c r="I181" i="2"/>
  <c r="J153" i="7"/>
  <c r="J158" i="7"/>
  <c r="K158" i="7"/>
  <c r="K153" i="7"/>
  <c r="H158" i="7"/>
  <c r="L153" i="7"/>
  <c r="I158" i="7"/>
  <c r="M153" i="7"/>
  <c r="H6" i="1"/>
  <c r="E6" i="1"/>
  <c r="G183" i="2"/>
  <c r="G6" i="1"/>
  <c r="L184" i="5"/>
  <c r="L177" i="5" s="1"/>
  <c r="J6" i="1"/>
  <c r="K184" i="5"/>
  <c r="K177" i="5" s="1"/>
  <c r="F6" i="1"/>
  <c r="K6" i="1"/>
  <c r="I153" i="7"/>
  <c r="H184" i="5"/>
  <c r="H177" i="5" s="1"/>
  <c r="H176" i="5"/>
  <c r="C153" i="7"/>
  <c r="G153" i="7"/>
  <c r="G155" i="7"/>
  <c r="D153" i="7"/>
  <c r="H153" i="7"/>
  <c r="H155" i="7"/>
  <c r="E153" i="7"/>
  <c r="G184" i="5"/>
  <c r="G177" i="5" s="1"/>
  <c r="F153" i="7"/>
  <c r="M113" i="5"/>
  <c r="C184" i="5"/>
  <c r="C177" i="5" s="1"/>
  <c r="F192" i="2"/>
  <c r="F184" i="2" s="1"/>
  <c r="F169" i="2"/>
  <c r="J192" i="2"/>
  <c r="J184" i="2" s="1"/>
  <c r="J169" i="2"/>
  <c r="N169" i="2"/>
  <c r="E184" i="5"/>
  <c r="E177" i="5" s="1"/>
  <c r="I184" i="5"/>
  <c r="I177" i="5" s="1"/>
  <c r="M184" i="5"/>
  <c r="M177" i="5" s="1"/>
  <c r="I179" i="2"/>
  <c r="I169" i="2"/>
  <c r="D184" i="5"/>
  <c r="D177" i="5" s="1"/>
  <c r="C179" i="2"/>
  <c r="G179" i="2"/>
  <c r="G169" i="2"/>
  <c r="K179" i="2"/>
  <c r="K169" i="2"/>
  <c r="F184" i="5"/>
  <c r="F177" i="5" s="1"/>
  <c r="J172" i="5"/>
  <c r="J184" i="5"/>
  <c r="J177" i="5" s="1"/>
  <c r="E169" i="2"/>
  <c r="M169" i="2"/>
  <c r="L113" i="5"/>
  <c r="D192" i="2"/>
  <c r="D184" i="2" s="1"/>
  <c r="D169" i="2"/>
  <c r="H192" i="2"/>
  <c r="H184" i="2" s="1"/>
  <c r="H169" i="2"/>
  <c r="L192" i="2"/>
  <c r="L169" i="2"/>
  <c r="N192" i="2"/>
  <c r="N184" i="2" s="1"/>
  <c r="F165" i="7"/>
  <c r="F156" i="7" s="1"/>
  <c r="J165" i="7"/>
  <c r="J156" i="7" s="1"/>
  <c r="G165" i="7"/>
  <c r="G156" i="7" s="1"/>
  <c r="C165" i="7"/>
  <c r="C156" i="7" s="1"/>
  <c r="K165" i="7"/>
  <c r="K156" i="7" s="1"/>
  <c r="D165" i="7"/>
  <c r="D156" i="7" s="1"/>
  <c r="H165" i="7"/>
  <c r="H156" i="7" s="1"/>
  <c r="L165" i="7"/>
  <c r="L156" i="7" s="1"/>
  <c r="E165" i="7"/>
  <c r="E156" i="7" s="1"/>
  <c r="I165" i="7"/>
  <c r="I156" i="7" s="1"/>
  <c r="M165" i="7"/>
  <c r="M156" i="7" s="1"/>
  <c r="F172" i="5"/>
  <c r="C172" i="5"/>
  <c r="G172" i="5"/>
  <c r="K172" i="5"/>
  <c r="D172" i="5"/>
  <c r="H172" i="5"/>
  <c r="L172" i="5"/>
  <c r="E172" i="5"/>
  <c r="I172" i="5"/>
  <c r="M172" i="5"/>
  <c r="L112" i="2"/>
  <c r="E192" i="2"/>
  <c r="E184" i="2" s="1"/>
  <c r="I192" i="2"/>
  <c r="I184" i="2" s="1"/>
  <c r="M192" i="2"/>
  <c r="M184" i="2" s="1"/>
  <c r="H168" i="2"/>
  <c r="L179" i="2"/>
  <c r="E179" i="2"/>
  <c r="M179" i="2"/>
  <c r="D179" i="2"/>
  <c r="D168" i="2"/>
  <c r="H179" i="2"/>
  <c r="G192" i="2"/>
  <c r="G184" i="2" s="1"/>
  <c r="F179" i="2"/>
  <c r="J179" i="2"/>
  <c r="N179" i="2"/>
  <c r="O165" i="2"/>
  <c r="F168" i="2"/>
  <c r="N168" i="2"/>
  <c r="C192" i="2"/>
  <c r="C184" i="2" s="1"/>
  <c r="K192" i="2"/>
  <c r="J102" i="7"/>
  <c r="J101" i="7"/>
  <c r="J103" i="7" s="1"/>
  <c r="J110" i="2"/>
  <c r="J108" i="2"/>
  <c r="I100" i="7"/>
  <c r="I101" i="7"/>
  <c r="I95" i="7"/>
  <c r="N81" i="7"/>
  <c r="N138" i="7" s="1"/>
  <c r="N141" i="7" s="1"/>
  <c r="N265" i="7" s="1"/>
  <c r="M81" i="7"/>
  <c r="M143" i="7" s="1"/>
  <c r="L81" i="7"/>
  <c r="L138" i="7" s="1"/>
  <c r="K81" i="7"/>
  <c r="K138" i="7" s="1"/>
  <c r="J81" i="7"/>
  <c r="J138" i="7" s="1"/>
  <c r="I81" i="7"/>
  <c r="I138" i="7" s="1"/>
  <c r="I142" i="7" s="1"/>
  <c r="I105" i="5"/>
  <c r="K113" i="5"/>
  <c r="J113" i="5"/>
  <c r="I111" i="5"/>
  <c r="I110" i="5"/>
  <c r="I112" i="5" s="1"/>
  <c r="I91" i="5"/>
  <c r="I156" i="5" s="1"/>
  <c r="N91" i="5"/>
  <c r="N156" i="5" s="1"/>
  <c r="N159" i="5" s="1"/>
  <c r="N285" i="5" s="1"/>
  <c r="M91" i="5"/>
  <c r="M161" i="5" s="1"/>
  <c r="L91" i="5"/>
  <c r="L156" i="5" s="1"/>
  <c r="K91" i="5"/>
  <c r="K156" i="5" s="1"/>
  <c r="J91" i="5"/>
  <c r="J156" i="5" s="1"/>
  <c r="I103" i="2"/>
  <c r="I110" i="2"/>
  <c r="I108" i="2"/>
  <c r="N88" i="2"/>
  <c r="N170" i="2" s="1"/>
  <c r="M88" i="2"/>
  <c r="M170" i="2" s="1"/>
  <c r="L88" i="2"/>
  <c r="L170" i="2" s="1"/>
  <c r="K88" i="2"/>
  <c r="K170" i="2" s="1"/>
  <c r="J88" i="2"/>
  <c r="J168" i="2" s="1"/>
  <c r="I88" i="2"/>
  <c r="I170" i="2" s="1"/>
  <c r="N94" i="2"/>
  <c r="N97" i="2" s="1"/>
  <c r="M94" i="2"/>
  <c r="M97" i="2" s="1"/>
  <c r="L94" i="2"/>
  <c r="L97" i="2" s="1"/>
  <c r="K94" i="2"/>
  <c r="K97" i="2" s="1"/>
  <c r="J94" i="2"/>
  <c r="J97" i="2" s="1"/>
  <c r="I94" i="2"/>
  <c r="I97" i="2" s="1"/>
  <c r="N100" i="5"/>
  <c r="M100" i="5"/>
  <c r="L97" i="5"/>
  <c r="L100" i="5" s="1"/>
  <c r="K97" i="5"/>
  <c r="K100" i="5" s="1"/>
  <c r="J97" i="5"/>
  <c r="J100" i="5" s="1"/>
  <c r="I97" i="5"/>
  <c r="I100" i="5" s="1"/>
  <c r="K87" i="7"/>
  <c r="K90" i="7" s="1"/>
  <c r="J87" i="7"/>
  <c r="J90" i="7" s="1"/>
  <c r="I87" i="7"/>
  <c r="I90" i="7" s="1"/>
  <c r="H110" i="2"/>
  <c r="H108" i="2"/>
  <c r="H109" i="2" s="1"/>
  <c r="H103" i="2"/>
  <c r="H94" i="2"/>
  <c r="H97" i="2" s="1"/>
  <c r="H88" i="2"/>
  <c r="H170" i="2" s="1"/>
  <c r="H97" i="5"/>
  <c r="H100" i="5" s="1"/>
  <c r="H91" i="5"/>
  <c r="H156" i="5" s="1"/>
  <c r="H105" i="5"/>
  <c r="H111" i="5"/>
  <c r="H110" i="5"/>
  <c r="H101" i="7"/>
  <c r="H100" i="7"/>
  <c r="H95" i="7"/>
  <c r="H87" i="7"/>
  <c r="H90" i="7" s="1"/>
  <c r="H81" i="7"/>
  <c r="H138" i="7" s="1"/>
  <c r="H142" i="7" s="1"/>
  <c r="M103" i="7"/>
  <c r="L103" i="7"/>
  <c r="K103" i="7"/>
  <c r="D103" i="7"/>
  <c r="G101" i="7"/>
  <c r="F101" i="7"/>
  <c r="E101" i="7"/>
  <c r="C101" i="7"/>
  <c r="G100" i="7"/>
  <c r="F100" i="7"/>
  <c r="F102" i="7" s="1"/>
  <c r="E100" i="7"/>
  <c r="E102" i="7" s="1"/>
  <c r="C100" i="7"/>
  <c r="C102" i="7" s="1"/>
  <c r="G95" i="7"/>
  <c r="F95" i="7"/>
  <c r="E95" i="7"/>
  <c r="D95" i="7"/>
  <c r="C95" i="7"/>
  <c r="N90" i="7"/>
  <c r="M90" i="7"/>
  <c r="L90" i="7"/>
  <c r="G87" i="7"/>
  <c r="G90" i="7" s="1"/>
  <c r="F87" i="7"/>
  <c r="F90" i="7" s="1"/>
  <c r="E87" i="7"/>
  <c r="E90" i="7" s="1"/>
  <c r="D87" i="7"/>
  <c r="D90" i="7" s="1"/>
  <c r="C87" i="7"/>
  <c r="C90" i="7" s="1"/>
  <c r="G81" i="7"/>
  <c r="G138" i="7" s="1"/>
  <c r="F81" i="7"/>
  <c r="F138" i="7" s="1"/>
  <c r="F142" i="7" s="1"/>
  <c r="E81" i="7"/>
  <c r="E138" i="7" s="1"/>
  <c r="E142" i="7" s="1"/>
  <c r="D81" i="7"/>
  <c r="D138" i="7" s="1"/>
  <c r="C81" i="7"/>
  <c r="C138" i="7" s="1"/>
  <c r="C142" i="7" s="1"/>
  <c r="M78" i="7"/>
  <c r="J78" i="7"/>
  <c r="I78" i="7"/>
  <c r="M65" i="7"/>
  <c r="M57" i="7" s="1"/>
  <c r="J65" i="7"/>
  <c r="J57" i="7" s="1"/>
  <c r="I65" i="7"/>
  <c r="I57" i="7" s="1"/>
  <c r="N64" i="7"/>
  <c r="M64" i="7"/>
  <c r="L64" i="7"/>
  <c r="K64" i="7"/>
  <c r="J64" i="7"/>
  <c r="I64" i="7"/>
  <c r="H64" i="7"/>
  <c r="G64" i="7"/>
  <c r="F64" i="7"/>
  <c r="C64" i="7"/>
  <c r="E62" i="7"/>
  <c r="D62" i="7"/>
  <c r="E61" i="7"/>
  <c r="D61" i="7"/>
  <c r="N48" i="7"/>
  <c r="N51" i="7" s="1"/>
  <c r="M48" i="7"/>
  <c r="M51" i="7" s="1"/>
  <c r="L48" i="7"/>
  <c r="L51" i="7" s="1"/>
  <c r="K48" i="7"/>
  <c r="K51" i="7" s="1"/>
  <c r="J48" i="7"/>
  <c r="J51" i="7" s="1"/>
  <c r="I48" i="7"/>
  <c r="I51" i="7" s="1"/>
  <c r="H48" i="7"/>
  <c r="H51" i="7" s="1"/>
  <c r="G48" i="7"/>
  <c r="G51" i="7" s="1"/>
  <c r="F48" i="7"/>
  <c r="F51" i="7" s="1"/>
  <c r="E48" i="7"/>
  <c r="E51" i="7" s="1"/>
  <c r="D48" i="7"/>
  <c r="D51" i="7" s="1"/>
  <c r="C48" i="7"/>
  <c r="C51" i="7" s="1"/>
  <c r="N43" i="7"/>
  <c r="N65" i="7" s="1"/>
  <c r="N57" i="7" s="1"/>
  <c r="L43" i="7"/>
  <c r="L78" i="7" s="1"/>
  <c r="K43" i="7"/>
  <c r="K65" i="7" s="1"/>
  <c r="K57" i="7" s="1"/>
  <c r="H43" i="7"/>
  <c r="G43" i="7"/>
  <c r="F43" i="7"/>
  <c r="F65" i="7" s="1"/>
  <c r="F57" i="7" s="1"/>
  <c r="E43" i="7"/>
  <c r="E78" i="7" s="1"/>
  <c r="D43" i="7"/>
  <c r="C43" i="7"/>
  <c r="O40" i="7"/>
  <c r="L35" i="7"/>
  <c r="K35" i="7"/>
  <c r="J35" i="7"/>
  <c r="I35" i="7"/>
  <c r="H35" i="7"/>
  <c r="G35" i="7"/>
  <c r="F35" i="7"/>
  <c r="E35" i="7"/>
  <c r="C35" i="7"/>
  <c r="L34" i="7"/>
  <c r="K34" i="7"/>
  <c r="J34" i="7"/>
  <c r="I34" i="7"/>
  <c r="H34" i="7"/>
  <c r="G34" i="7"/>
  <c r="F34" i="7"/>
  <c r="E34" i="7"/>
  <c r="C34" i="7"/>
  <c r="M30" i="7"/>
  <c r="L30" i="7"/>
  <c r="K30" i="7"/>
  <c r="J30" i="7"/>
  <c r="I30" i="7"/>
  <c r="H30" i="7"/>
  <c r="G30" i="7"/>
  <c r="F30" i="7"/>
  <c r="E30" i="7"/>
  <c r="D30" i="7"/>
  <c r="C30" i="7"/>
  <c r="N27" i="7"/>
  <c r="N30" i="7" s="1"/>
  <c r="N22" i="7"/>
  <c r="N36" i="7" s="1"/>
  <c r="M22" i="7"/>
  <c r="M45" i="7" s="1"/>
  <c r="L22" i="7"/>
  <c r="K22" i="7"/>
  <c r="J22" i="7"/>
  <c r="J45" i="7" s="1"/>
  <c r="I22" i="7"/>
  <c r="I45" i="7" s="1"/>
  <c r="H22" i="7"/>
  <c r="G22" i="7"/>
  <c r="F22" i="7"/>
  <c r="E22" i="7"/>
  <c r="D22" i="7"/>
  <c r="D36" i="7" s="1"/>
  <c r="C22" i="7"/>
  <c r="C36" i="7" s="1"/>
  <c r="O19" i="7"/>
  <c r="L14" i="7"/>
  <c r="K14" i="7"/>
  <c r="J14" i="7"/>
  <c r="I14" i="7"/>
  <c r="H14" i="7"/>
  <c r="G14" i="7"/>
  <c r="F14" i="7"/>
  <c r="E14" i="7"/>
  <c r="D14" i="7"/>
  <c r="C14" i="7"/>
  <c r="M13" i="7"/>
  <c r="M12" i="7"/>
  <c r="N8" i="7"/>
  <c r="N14" i="7" s="1"/>
  <c r="M8" i="7"/>
  <c r="D113" i="5"/>
  <c r="G111" i="5"/>
  <c r="F111" i="5"/>
  <c r="E111" i="5"/>
  <c r="C111" i="5"/>
  <c r="G110" i="5"/>
  <c r="G112" i="5" s="1"/>
  <c r="F110" i="5"/>
  <c r="F112" i="5" s="1"/>
  <c r="E110" i="5"/>
  <c r="E112" i="5" s="1"/>
  <c r="C110" i="5"/>
  <c r="C112" i="5" s="1"/>
  <c r="N106" i="5"/>
  <c r="G105" i="5"/>
  <c r="F105" i="5"/>
  <c r="E105" i="5"/>
  <c r="G97" i="5"/>
  <c r="G100" i="5" s="1"/>
  <c r="F97" i="5"/>
  <c r="F100" i="5" s="1"/>
  <c r="E97" i="5"/>
  <c r="E100" i="5" s="1"/>
  <c r="D97" i="5"/>
  <c r="D100" i="5" s="1"/>
  <c r="C97" i="5"/>
  <c r="C100" i="5" s="1"/>
  <c r="G91" i="5"/>
  <c r="G156" i="5" s="1"/>
  <c r="F91" i="5"/>
  <c r="F156" i="5" s="1"/>
  <c r="E91" i="5"/>
  <c r="E156" i="5" s="1"/>
  <c r="D91" i="5"/>
  <c r="D156" i="5" s="1"/>
  <c r="C91" i="5"/>
  <c r="C156" i="5" s="1"/>
  <c r="M88" i="5"/>
  <c r="J88" i="5"/>
  <c r="I88" i="5"/>
  <c r="M81" i="5"/>
  <c r="M73" i="5" s="1"/>
  <c r="J81" i="5"/>
  <c r="J73" i="5" s="1"/>
  <c r="I81" i="5"/>
  <c r="I73" i="5" s="1"/>
  <c r="N80" i="5"/>
  <c r="M80" i="5"/>
  <c r="K80" i="5"/>
  <c r="J80" i="5"/>
  <c r="I80" i="5"/>
  <c r="G80" i="5"/>
  <c r="F80" i="5"/>
  <c r="C80" i="5"/>
  <c r="H78" i="5"/>
  <c r="E78" i="5"/>
  <c r="D78" i="5"/>
  <c r="H77" i="5"/>
  <c r="E77" i="5"/>
  <c r="D77" i="5"/>
  <c r="N64" i="5"/>
  <c r="N67" i="5" s="1"/>
  <c r="M64" i="5"/>
  <c r="M67" i="5" s="1"/>
  <c r="L64" i="5"/>
  <c r="L67" i="5" s="1"/>
  <c r="K64" i="5"/>
  <c r="K67" i="5" s="1"/>
  <c r="J64" i="5"/>
  <c r="J67" i="5" s="1"/>
  <c r="I64" i="5"/>
  <c r="I67" i="5" s="1"/>
  <c r="H64" i="5"/>
  <c r="H67" i="5" s="1"/>
  <c r="G64" i="5"/>
  <c r="G67" i="5" s="1"/>
  <c r="F64" i="5"/>
  <c r="F67" i="5" s="1"/>
  <c r="E64" i="5"/>
  <c r="E67" i="5" s="1"/>
  <c r="D64" i="5"/>
  <c r="D67" i="5" s="1"/>
  <c r="C64" i="5"/>
  <c r="C67" i="5" s="1"/>
  <c r="M60" i="5"/>
  <c r="J60" i="5"/>
  <c r="I60" i="5"/>
  <c r="N59" i="5"/>
  <c r="N88" i="5" s="1"/>
  <c r="L59" i="5"/>
  <c r="K59" i="5"/>
  <c r="K60" i="5" s="1"/>
  <c r="H59" i="5"/>
  <c r="H88" i="5" s="1"/>
  <c r="G59" i="5"/>
  <c r="G88" i="5" s="1"/>
  <c r="F59" i="5"/>
  <c r="F88" i="5" s="1"/>
  <c r="E59" i="5"/>
  <c r="E88" i="5" s="1"/>
  <c r="D59" i="5"/>
  <c r="C59" i="5"/>
  <c r="C88" i="5" s="1"/>
  <c r="L51" i="5"/>
  <c r="K51" i="5"/>
  <c r="I51" i="5"/>
  <c r="H51" i="5"/>
  <c r="G51" i="5"/>
  <c r="F51" i="5"/>
  <c r="E51" i="5"/>
  <c r="C51" i="5"/>
  <c r="L50" i="5"/>
  <c r="K50" i="5"/>
  <c r="J50" i="5"/>
  <c r="I50" i="5"/>
  <c r="H50" i="5"/>
  <c r="G50" i="5"/>
  <c r="F50" i="5"/>
  <c r="E50" i="5"/>
  <c r="C50" i="5"/>
  <c r="N46" i="5"/>
  <c r="M46" i="5"/>
  <c r="L46" i="5"/>
  <c r="K46" i="5"/>
  <c r="J46" i="5"/>
  <c r="I46" i="5"/>
  <c r="H46" i="5"/>
  <c r="G46" i="5"/>
  <c r="F46" i="5"/>
  <c r="E46" i="5"/>
  <c r="D46" i="5"/>
  <c r="C46" i="5"/>
  <c r="N38" i="5"/>
  <c r="N52" i="5" s="1"/>
  <c r="M38" i="5"/>
  <c r="L38" i="5"/>
  <c r="K38" i="5"/>
  <c r="K39" i="5" s="1"/>
  <c r="J38" i="5"/>
  <c r="J61" i="5" s="1"/>
  <c r="I38" i="5"/>
  <c r="I61" i="5" s="1"/>
  <c r="H38" i="5"/>
  <c r="G38" i="5"/>
  <c r="G39" i="5" s="1"/>
  <c r="F38" i="5"/>
  <c r="F39" i="5" s="1"/>
  <c r="E38" i="5"/>
  <c r="E39" i="5" s="1"/>
  <c r="D38" i="5"/>
  <c r="C38" i="5"/>
  <c r="O35" i="5"/>
  <c r="M30" i="5"/>
  <c r="L30" i="5"/>
  <c r="K30" i="5"/>
  <c r="J30" i="5"/>
  <c r="I30" i="5"/>
  <c r="M29" i="5"/>
  <c r="L29" i="5"/>
  <c r="K29" i="5"/>
  <c r="J29" i="5"/>
  <c r="I29" i="5"/>
  <c r="N26" i="5"/>
  <c r="M26" i="5"/>
  <c r="L26" i="5"/>
  <c r="K26" i="5"/>
  <c r="J26" i="5"/>
  <c r="I26" i="5"/>
  <c r="H26" i="5"/>
  <c r="G26" i="5"/>
  <c r="N19" i="5"/>
  <c r="N31" i="5" s="1"/>
  <c r="M19" i="5"/>
  <c r="L19" i="5"/>
  <c r="K19" i="5"/>
  <c r="J19" i="5"/>
  <c r="I19" i="5"/>
  <c r="H19" i="5"/>
  <c r="H31" i="5" s="1"/>
  <c r="G19" i="5"/>
  <c r="G31" i="5" s="1"/>
  <c r="F19" i="5"/>
  <c r="F31" i="5" s="1"/>
  <c r="E19" i="5"/>
  <c r="E31" i="5" s="1"/>
  <c r="D19" i="5"/>
  <c r="D31" i="5" s="1"/>
  <c r="C19" i="5"/>
  <c r="C31" i="5" s="1"/>
  <c r="O15" i="5"/>
  <c r="M10" i="5"/>
  <c r="L10" i="5"/>
  <c r="K10" i="5"/>
  <c r="J10" i="5"/>
  <c r="I10" i="5"/>
  <c r="H10" i="5"/>
  <c r="G10" i="5"/>
  <c r="H7" i="5"/>
  <c r="M112" i="2"/>
  <c r="K112" i="2"/>
  <c r="D112" i="2"/>
  <c r="G110" i="2"/>
  <c r="F110" i="2"/>
  <c r="E110" i="2"/>
  <c r="C110" i="2"/>
  <c r="C112" i="2" s="1"/>
  <c r="G108" i="2"/>
  <c r="G109" i="2" s="1"/>
  <c r="F108" i="2"/>
  <c r="E108" i="2"/>
  <c r="E109" i="2" s="1"/>
  <c r="G103" i="2"/>
  <c r="F103" i="2"/>
  <c r="E103" i="2"/>
  <c r="G94" i="2"/>
  <c r="G97" i="2" s="1"/>
  <c r="F94" i="2"/>
  <c r="F97" i="2" s="1"/>
  <c r="E94" i="2"/>
  <c r="E97" i="2" s="1"/>
  <c r="D94" i="2"/>
  <c r="D97" i="2" s="1"/>
  <c r="C94" i="2"/>
  <c r="C97" i="2" s="1"/>
  <c r="G88" i="2"/>
  <c r="G168" i="2" s="1"/>
  <c r="F88" i="2"/>
  <c r="F170" i="2" s="1"/>
  <c r="E88" i="2"/>
  <c r="E170" i="2" s="1"/>
  <c r="D88" i="2"/>
  <c r="D170" i="2" s="1"/>
  <c r="C88" i="2"/>
  <c r="C168" i="2" s="1"/>
  <c r="O84" i="2"/>
  <c r="M70" i="2"/>
  <c r="K70" i="2"/>
  <c r="K60" i="2" s="1"/>
  <c r="N69" i="2"/>
  <c r="M69" i="2"/>
  <c r="K69" i="2"/>
  <c r="J69" i="2"/>
  <c r="I69" i="2"/>
  <c r="G69" i="2"/>
  <c r="F69" i="2"/>
  <c r="C69" i="2"/>
  <c r="H67" i="2"/>
  <c r="H69" i="2" s="1"/>
  <c r="E67" i="2"/>
  <c r="D67" i="2"/>
  <c r="E66" i="2"/>
  <c r="E65" i="2" s="1"/>
  <c r="D66" i="2"/>
  <c r="D65" i="2" s="1"/>
  <c r="M65" i="2"/>
  <c r="L65" i="2"/>
  <c r="K65" i="2"/>
  <c r="J65" i="2"/>
  <c r="I65" i="2"/>
  <c r="H65" i="2"/>
  <c r="G65" i="2"/>
  <c r="F65" i="2"/>
  <c r="C65" i="2"/>
  <c r="M60" i="2"/>
  <c r="M57" i="2"/>
  <c r="K57" i="2"/>
  <c r="N50" i="2"/>
  <c r="N53" i="2" s="1"/>
  <c r="M50" i="2"/>
  <c r="M53" i="2" s="1"/>
  <c r="L50" i="2"/>
  <c r="L53" i="2" s="1"/>
  <c r="K50" i="2"/>
  <c r="K53" i="2" s="1"/>
  <c r="J50" i="2"/>
  <c r="J53" i="2" s="1"/>
  <c r="I50" i="2"/>
  <c r="I53" i="2" s="1"/>
  <c r="H50" i="2"/>
  <c r="H53" i="2" s="1"/>
  <c r="G50" i="2"/>
  <c r="G53" i="2" s="1"/>
  <c r="F50" i="2"/>
  <c r="F53" i="2" s="1"/>
  <c r="E50" i="2"/>
  <c r="E53" i="2" s="1"/>
  <c r="D50" i="2"/>
  <c r="D53" i="2" s="1"/>
  <c r="C50" i="2"/>
  <c r="C53" i="2" s="1"/>
  <c r="M46" i="2"/>
  <c r="K46" i="2"/>
  <c r="N45" i="2"/>
  <c r="N70" i="2" s="1"/>
  <c r="N60" i="2" s="1"/>
  <c r="L45" i="2"/>
  <c r="L70" i="2" s="1"/>
  <c r="L60" i="2" s="1"/>
  <c r="J45" i="2"/>
  <c r="J70" i="2" s="1"/>
  <c r="J60" i="2" s="1"/>
  <c r="I45" i="2"/>
  <c r="I57" i="2" s="1"/>
  <c r="H45" i="2"/>
  <c r="G45" i="2"/>
  <c r="G57" i="2" s="1"/>
  <c r="F45" i="2"/>
  <c r="F70" i="2" s="1"/>
  <c r="F60" i="2" s="1"/>
  <c r="E45" i="2"/>
  <c r="E57" i="2" s="1"/>
  <c r="D45" i="2"/>
  <c r="C45" i="2"/>
  <c r="C57" i="2" s="1"/>
  <c r="O41" i="2"/>
  <c r="L36" i="2"/>
  <c r="K36" i="2"/>
  <c r="J36" i="2"/>
  <c r="I36" i="2"/>
  <c r="H36" i="2"/>
  <c r="G36" i="2"/>
  <c r="F36" i="2"/>
  <c r="E36" i="2"/>
  <c r="C36" i="2"/>
  <c r="L35" i="2"/>
  <c r="K35" i="2"/>
  <c r="J35" i="2"/>
  <c r="I35" i="2"/>
  <c r="H35" i="2"/>
  <c r="G35" i="2"/>
  <c r="F35" i="2"/>
  <c r="E35" i="2"/>
  <c r="C35" i="2"/>
  <c r="M31" i="2"/>
  <c r="L31" i="2"/>
  <c r="K31" i="2"/>
  <c r="J31" i="2"/>
  <c r="I31" i="2"/>
  <c r="H31" i="2"/>
  <c r="G31" i="2"/>
  <c r="F31" i="2"/>
  <c r="E31" i="2"/>
  <c r="D31" i="2"/>
  <c r="C31" i="2"/>
  <c r="N28" i="2"/>
  <c r="N31" i="2" s="1"/>
  <c r="N24" i="2"/>
  <c r="N37" i="2" s="1"/>
  <c r="M24" i="2"/>
  <c r="M47" i="2" s="1"/>
  <c r="L24" i="2"/>
  <c r="K24" i="2"/>
  <c r="K47" i="2" s="1"/>
  <c r="J24" i="2"/>
  <c r="I24" i="2"/>
  <c r="H24" i="2"/>
  <c r="G24" i="2"/>
  <c r="F24" i="2"/>
  <c r="F25" i="2" s="1"/>
  <c r="E24" i="2"/>
  <c r="E25" i="2" s="1"/>
  <c r="D24" i="2"/>
  <c r="D37" i="2" s="1"/>
  <c r="C24" i="2"/>
  <c r="O21" i="2"/>
  <c r="M16" i="2"/>
  <c r="L16" i="2"/>
  <c r="K16" i="2"/>
  <c r="J16" i="2"/>
  <c r="I16" i="2"/>
  <c r="M15" i="2"/>
  <c r="L15" i="2"/>
  <c r="K15" i="2"/>
  <c r="J15" i="2"/>
  <c r="I15" i="2"/>
  <c r="N10" i="2"/>
  <c r="N17" i="2" s="1"/>
  <c r="M10" i="2"/>
  <c r="L10" i="2"/>
  <c r="K10" i="2"/>
  <c r="J10" i="2"/>
  <c r="I10" i="2"/>
  <c r="H10" i="2"/>
  <c r="H17" i="2" s="1"/>
  <c r="G10" i="2"/>
  <c r="G17" i="2" s="1"/>
  <c r="F10" i="2"/>
  <c r="F17" i="2" s="1"/>
  <c r="E10" i="2"/>
  <c r="E17" i="2" s="1"/>
  <c r="D10" i="2"/>
  <c r="D17" i="2" s="1"/>
  <c r="C10" i="2"/>
  <c r="O6" i="2"/>
  <c r="I340" i="2" l="1"/>
  <c r="J340" i="2"/>
  <c r="G13" i="1"/>
  <c r="L340" i="2"/>
  <c r="K340" i="2"/>
  <c r="M13" i="1"/>
  <c r="O11" i="1"/>
  <c r="G340" i="2"/>
  <c r="C17" i="1"/>
  <c r="C340" i="2"/>
  <c r="D340" i="2"/>
  <c r="D354" i="2"/>
  <c r="O141" i="7"/>
  <c r="O265" i="7"/>
  <c r="N266" i="7"/>
  <c r="L13" i="1"/>
  <c r="K13" i="1"/>
  <c r="N286" i="5"/>
  <c r="N13" i="1"/>
  <c r="O159" i="5"/>
  <c r="P159" i="5" s="1"/>
  <c r="O285" i="5"/>
  <c r="O293" i="5" s="1"/>
  <c r="I286" i="5"/>
  <c r="J13" i="1"/>
  <c r="I13" i="1"/>
  <c r="P166" i="2"/>
  <c r="O167" i="2"/>
  <c r="N165" i="7"/>
  <c r="N156" i="7" s="1"/>
  <c r="N153" i="7"/>
  <c r="N172" i="5"/>
  <c r="N184" i="5"/>
  <c r="N177" i="5" s="1"/>
  <c r="O6" i="1"/>
  <c r="O339" i="2"/>
  <c r="K143" i="7"/>
  <c r="J143" i="7"/>
  <c r="L143" i="7"/>
  <c r="I143" i="7"/>
  <c r="H143" i="7"/>
  <c r="N143" i="7"/>
  <c r="C163" i="5"/>
  <c r="C3" i="1"/>
  <c r="H160" i="5"/>
  <c r="H3" i="1"/>
  <c r="H8" i="1" s="1"/>
  <c r="K160" i="5"/>
  <c r="K3" i="1"/>
  <c r="K8" i="1" s="1"/>
  <c r="K10" i="1" s="1"/>
  <c r="I160" i="5"/>
  <c r="I3" i="1"/>
  <c r="I8" i="1" s="1"/>
  <c r="I10" i="1" s="1"/>
  <c r="N161" i="5"/>
  <c r="D160" i="5"/>
  <c r="D3" i="1"/>
  <c r="D8" i="1" s="1"/>
  <c r="L163" i="5"/>
  <c r="L3" i="1"/>
  <c r="L8" i="1" s="1"/>
  <c r="L10" i="1" s="1"/>
  <c r="C143" i="7"/>
  <c r="D143" i="7"/>
  <c r="F143" i="7"/>
  <c r="G163" i="5"/>
  <c r="G3" i="1"/>
  <c r="G8" i="1" s="1"/>
  <c r="E160" i="5"/>
  <c r="E3" i="1"/>
  <c r="E8" i="1" s="1"/>
  <c r="E10" i="1" s="1"/>
  <c r="J161" i="5"/>
  <c r="K161" i="5"/>
  <c r="G143" i="7"/>
  <c r="F160" i="5"/>
  <c r="F3" i="1"/>
  <c r="F8" i="1" s="1"/>
  <c r="J160" i="5"/>
  <c r="J3" i="1"/>
  <c r="J8" i="1" s="1"/>
  <c r="J10" i="1" s="1"/>
  <c r="N163" i="5"/>
  <c r="N3" i="1"/>
  <c r="N8" i="1" s="1"/>
  <c r="E143" i="7"/>
  <c r="I161" i="5"/>
  <c r="L161" i="5"/>
  <c r="G142" i="7"/>
  <c r="D142" i="7"/>
  <c r="G161" i="5"/>
  <c r="H161" i="5"/>
  <c r="D161" i="5"/>
  <c r="C161" i="5"/>
  <c r="N93" i="5"/>
  <c r="L104" i="7"/>
  <c r="L96" i="7" s="1"/>
  <c r="E161" i="5"/>
  <c r="F161" i="5"/>
  <c r="I163" i="5"/>
  <c r="C170" i="2"/>
  <c r="G160" i="5"/>
  <c r="G170" i="2"/>
  <c r="J170" i="2"/>
  <c r="H163" i="5"/>
  <c r="M114" i="5"/>
  <c r="M106" i="5" s="1"/>
  <c r="M156" i="5"/>
  <c r="I103" i="7"/>
  <c r="E163" i="5"/>
  <c r="D163" i="5"/>
  <c r="L160" i="5"/>
  <c r="K163" i="5"/>
  <c r="C160" i="5"/>
  <c r="J163" i="5"/>
  <c r="N160" i="5"/>
  <c r="G112" i="2"/>
  <c r="M83" i="7"/>
  <c r="M138" i="7"/>
  <c r="F163" i="5"/>
  <c r="F91" i="7"/>
  <c r="F83" i="7"/>
  <c r="H91" i="7"/>
  <c r="H83" i="7"/>
  <c r="J83" i="7"/>
  <c r="J85" i="7"/>
  <c r="N91" i="7"/>
  <c r="E45" i="7"/>
  <c r="C91" i="7"/>
  <c r="C83" i="7"/>
  <c r="G91" i="7"/>
  <c r="G83" i="7"/>
  <c r="G85" i="7"/>
  <c r="K91" i="7"/>
  <c r="K83" i="7"/>
  <c r="D91" i="7"/>
  <c r="D83" i="7"/>
  <c r="L83" i="7"/>
  <c r="L85" i="7"/>
  <c r="E85" i="7"/>
  <c r="E83" i="7"/>
  <c r="I91" i="7"/>
  <c r="I83" i="7"/>
  <c r="I85" i="7"/>
  <c r="E101" i="5"/>
  <c r="E95" i="5"/>
  <c r="J101" i="5"/>
  <c r="J95" i="5"/>
  <c r="N101" i="5"/>
  <c r="N95" i="5"/>
  <c r="F101" i="5"/>
  <c r="F95" i="5"/>
  <c r="K101" i="5"/>
  <c r="I101" i="5"/>
  <c r="I95" i="5"/>
  <c r="C101" i="5"/>
  <c r="C95" i="5"/>
  <c r="G101" i="5"/>
  <c r="G95" i="5"/>
  <c r="H95" i="5"/>
  <c r="C169" i="2"/>
  <c r="I168" i="2"/>
  <c r="E89" i="2"/>
  <c r="K89" i="2"/>
  <c r="M113" i="2"/>
  <c r="M104" i="2" s="1"/>
  <c r="L89" i="2"/>
  <c r="C89" i="2"/>
  <c r="O88" i="2"/>
  <c r="O89" i="2" s="1"/>
  <c r="G90" i="2"/>
  <c r="G89" i="2"/>
  <c r="D113" i="2"/>
  <c r="D104" i="2" s="1"/>
  <c r="D89" i="2"/>
  <c r="J90" i="2"/>
  <c r="J89" i="2"/>
  <c r="I90" i="2"/>
  <c r="I89" i="2"/>
  <c r="F101" i="2"/>
  <c r="F89" i="2"/>
  <c r="H90" i="2"/>
  <c r="H89" i="2"/>
  <c r="N113" i="2"/>
  <c r="N104" i="2" s="1"/>
  <c r="N89" i="2"/>
  <c r="M101" i="5"/>
  <c r="M95" i="5"/>
  <c r="M92" i="5"/>
  <c r="M91" i="7"/>
  <c r="M85" i="7"/>
  <c r="M90" i="2"/>
  <c r="M89" i="2"/>
  <c r="L101" i="5"/>
  <c r="L114" i="5"/>
  <c r="L106" i="5" s="1"/>
  <c r="K17" i="2"/>
  <c r="I17" i="2"/>
  <c r="M17" i="2"/>
  <c r="L90" i="2"/>
  <c r="L113" i="2"/>
  <c r="L104" i="2" s="1"/>
  <c r="M104" i="7"/>
  <c r="M96" i="7" s="1"/>
  <c r="J112" i="2"/>
  <c r="I26" i="2"/>
  <c r="J101" i="2"/>
  <c r="E65" i="7"/>
  <c r="E57" i="7" s="1"/>
  <c r="N90" i="2"/>
  <c r="H112" i="2"/>
  <c r="I113" i="5"/>
  <c r="N101" i="2"/>
  <c r="D64" i="7"/>
  <c r="K78" i="7"/>
  <c r="K85" i="7" s="1"/>
  <c r="L93" i="5"/>
  <c r="H104" i="7"/>
  <c r="H96" i="7" s="1"/>
  <c r="H102" i="7"/>
  <c r="F92" i="5"/>
  <c r="G104" i="7"/>
  <c r="G96" i="7" s="1"/>
  <c r="G102" i="7"/>
  <c r="H93" i="5"/>
  <c r="H101" i="5"/>
  <c r="L91" i="7"/>
  <c r="N92" i="5"/>
  <c r="E61" i="5"/>
  <c r="D114" i="5"/>
  <c r="D106" i="5" s="1"/>
  <c r="D101" i="5"/>
  <c r="G36" i="7"/>
  <c r="K36" i="7"/>
  <c r="F45" i="7"/>
  <c r="F78" i="7"/>
  <c r="F85" i="7" s="1"/>
  <c r="E104" i="7"/>
  <c r="E96" i="7" s="1"/>
  <c r="E91" i="7"/>
  <c r="N91" i="2"/>
  <c r="H114" i="5"/>
  <c r="H106" i="5" s="1"/>
  <c r="H112" i="5"/>
  <c r="F103" i="7"/>
  <c r="E91" i="2"/>
  <c r="G103" i="7"/>
  <c r="I104" i="7"/>
  <c r="I96" i="7" s="1"/>
  <c r="I102" i="7"/>
  <c r="M26" i="2"/>
  <c r="I101" i="2"/>
  <c r="H92" i="5"/>
  <c r="J92" i="5"/>
  <c r="M93" i="5"/>
  <c r="H36" i="7"/>
  <c r="L36" i="7"/>
  <c r="E103" i="7"/>
  <c r="D104" i="7"/>
  <c r="D96" i="7" s="1"/>
  <c r="I91" i="2"/>
  <c r="H113" i="5"/>
  <c r="J91" i="7"/>
  <c r="J104" i="7"/>
  <c r="J96" i="7" s="1"/>
  <c r="K104" i="7"/>
  <c r="K96" i="7" s="1"/>
  <c r="C93" i="5"/>
  <c r="J113" i="2"/>
  <c r="J104" i="2" s="1"/>
  <c r="J109" i="2"/>
  <c r="E112" i="2"/>
  <c r="F113" i="2"/>
  <c r="F104" i="2" s="1"/>
  <c r="F109" i="2"/>
  <c r="C52" i="5"/>
  <c r="E93" i="5"/>
  <c r="M14" i="7"/>
  <c r="C45" i="7"/>
  <c r="C78" i="7"/>
  <c r="C85" i="7" s="1"/>
  <c r="C65" i="7"/>
  <c r="C57" i="7" s="1"/>
  <c r="G45" i="7"/>
  <c r="G65" i="7"/>
  <c r="G57" i="7" s="1"/>
  <c r="G93" i="5"/>
  <c r="K93" i="5"/>
  <c r="K114" i="5"/>
  <c r="K106" i="5" s="1"/>
  <c r="I93" i="5"/>
  <c r="I114" i="5"/>
  <c r="I106" i="5" s="1"/>
  <c r="M25" i="2"/>
  <c r="M37" i="2"/>
  <c r="I70" i="2"/>
  <c r="I60" i="2" s="1"/>
  <c r="C91" i="2"/>
  <c r="M52" i="5"/>
  <c r="M61" i="5"/>
  <c r="E52" i="5"/>
  <c r="F114" i="5"/>
  <c r="F106" i="5" s="1"/>
  <c r="F93" i="5"/>
  <c r="F113" i="5"/>
  <c r="D93" i="5"/>
  <c r="L91" i="2"/>
  <c r="I112" i="2"/>
  <c r="I109" i="2"/>
  <c r="I36" i="7"/>
  <c r="K45" i="7"/>
  <c r="F104" i="7"/>
  <c r="F96" i="7" s="1"/>
  <c r="J17" i="2"/>
  <c r="F91" i="2"/>
  <c r="M101" i="2"/>
  <c r="O10" i="5"/>
  <c r="P10" i="5" s="1"/>
  <c r="M31" i="5"/>
  <c r="K52" i="5"/>
  <c r="I92" i="5"/>
  <c r="F36" i="7"/>
  <c r="J36" i="7"/>
  <c r="L45" i="7"/>
  <c r="E64" i="7"/>
  <c r="C104" i="7"/>
  <c r="C96" i="7" s="1"/>
  <c r="C103" i="7"/>
  <c r="H103" i="7"/>
  <c r="M91" i="2"/>
  <c r="F90" i="2"/>
  <c r="J114" i="5"/>
  <c r="J106" i="5" s="1"/>
  <c r="J93" i="5"/>
  <c r="J26" i="2"/>
  <c r="C101" i="2"/>
  <c r="G113" i="2"/>
  <c r="G104" i="2" s="1"/>
  <c r="O24" i="2"/>
  <c r="P41" i="2" s="1"/>
  <c r="C70" i="2"/>
  <c r="C60" i="2" s="1"/>
  <c r="C90" i="2"/>
  <c r="F112" i="2"/>
  <c r="H113" i="2"/>
  <c r="H104" i="2" s="1"/>
  <c r="H91" i="2"/>
  <c r="D91" i="2"/>
  <c r="L17" i="2"/>
  <c r="H26" i="2"/>
  <c r="L26" i="2"/>
  <c r="N25" i="2"/>
  <c r="E37" i="2"/>
  <c r="I37" i="2"/>
  <c r="L57" i="2"/>
  <c r="D69" i="2"/>
  <c r="E70" i="2"/>
  <c r="E60" i="2" s="1"/>
  <c r="E113" i="2"/>
  <c r="E104" i="2" s="1"/>
  <c r="G101" i="2"/>
  <c r="L101" i="2"/>
  <c r="I113" i="2"/>
  <c r="I104" i="2" s="1"/>
  <c r="G91" i="2"/>
  <c r="E90" i="2"/>
  <c r="F26" i="2"/>
  <c r="N26" i="2"/>
  <c r="J25" i="2"/>
  <c r="J37" i="2"/>
  <c r="O10" i="2"/>
  <c r="G26" i="2"/>
  <c r="I25" i="2"/>
  <c r="F37" i="2"/>
  <c r="L46" i="2"/>
  <c r="E69" i="2"/>
  <c r="G70" i="2"/>
  <c r="G60" i="2" s="1"/>
  <c r="H101" i="2"/>
  <c r="C113" i="2"/>
  <c r="C104" i="2" s="1"/>
  <c r="J91" i="2"/>
  <c r="D90" i="2"/>
  <c r="N104" i="7"/>
  <c r="N96" i="7" s="1"/>
  <c r="N83" i="7"/>
  <c r="K90" i="2"/>
  <c r="K101" i="2"/>
  <c r="K113" i="2"/>
  <c r="K104" i="2" s="1"/>
  <c r="K91" i="2"/>
  <c r="J31" i="5"/>
  <c r="K61" i="5"/>
  <c r="L31" i="5"/>
  <c r="K81" i="5"/>
  <c r="K73" i="5" s="1"/>
  <c r="C113" i="5"/>
  <c r="L61" i="5"/>
  <c r="L81" i="5"/>
  <c r="L73" i="5" s="1"/>
  <c r="E113" i="5"/>
  <c r="N61" i="5"/>
  <c r="C60" i="5"/>
  <c r="D80" i="5"/>
  <c r="N81" i="5"/>
  <c r="N73" i="5" s="1"/>
  <c r="I39" i="5"/>
  <c r="E60" i="5"/>
  <c r="E80" i="5"/>
  <c r="J39" i="5"/>
  <c r="G60" i="5"/>
  <c r="H80" i="5"/>
  <c r="M39" i="5"/>
  <c r="G52" i="5"/>
  <c r="I52" i="5"/>
  <c r="K88" i="5"/>
  <c r="K92" i="5" s="1"/>
  <c r="E114" i="5"/>
  <c r="E106" i="5" s="1"/>
  <c r="L88" i="5"/>
  <c r="L92" i="5" s="1"/>
  <c r="C61" i="5"/>
  <c r="G61" i="5"/>
  <c r="K31" i="5"/>
  <c r="O38" i="5"/>
  <c r="N39" i="5"/>
  <c r="F52" i="5"/>
  <c r="D46" i="2"/>
  <c r="H46" i="2"/>
  <c r="D47" i="2"/>
  <c r="L47" i="2"/>
  <c r="D57" i="2"/>
  <c r="C25" i="2"/>
  <c r="G25" i="2"/>
  <c r="K25" i="2"/>
  <c r="C37" i="2"/>
  <c r="G37" i="2"/>
  <c r="K37" i="2"/>
  <c r="O45" i="2"/>
  <c r="E46" i="2"/>
  <c r="I46" i="2"/>
  <c r="E47" i="2"/>
  <c r="I47" i="2"/>
  <c r="D70" i="2"/>
  <c r="D60" i="2" s="1"/>
  <c r="H70" i="2"/>
  <c r="D101" i="2"/>
  <c r="D61" i="5"/>
  <c r="D60" i="5"/>
  <c r="D88" i="5"/>
  <c r="D92" i="5" s="1"/>
  <c r="D81" i="5"/>
  <c r="D73" i="5" s="1"/>
  <c r="H61" i="5"/>
  <c r="H60" i="5"/>
  <c r="O59" i="5"/>
  <c r="P59" i="5" s="1"/>
  <c r="H81" i="5"/>
  <c r="H73" i="5" s="1"/>
  <c r="G113" i="5"/>
  <c r="H47" i="2"/>
  <c r="H57" i="2"/>
  <c r="C17" i="2"/>
  <c r="D25" i="2"/>
  <c r="H25" i="2"/>
  <c r="L25" i="2"/>
  <c r="K26" i="2"/>
  <c r="H37" i="2"/>
  <c r="L37" i="2"/>
  <c r="F46" i="2"/>
  <c r="J46" i="2"/>
  <c r="N46" i="2"/>
  <c r="F47" i="2"/>
  <c r="J47" i="2"/>
  <c r="N47" i="2"/>
  <c r="F57" i="2"/>
  <c r="J57" i="2"/>
  <c r="E101" i="2"/>
  <c r="I31" i="5"/>
  <c r="C46" i="2"/>
  <c r="G46" i="2"/>
  <c r="C47" i="2"/>
  <c r="G47" i="2"/>
  <c r="D52" i="5"/>
  <c r="D39" i="5"/>
  <c r="H52" i="5"/>
  <c r="H39" i="5"/>
  <c r="L52" i="5"/>
  <c r="L39" i="5"/>
  <c r="C92" i="5"/>
  <c r="C114" i="5"/>
  <c r="C106" i="5" s="1"/>
  <c r="O91" i="5"/>
  <c r="G92" i="5"/>
  <c r="G114" i="5"/>
  <c r="G106" i="5" s="1"/>
  <c r="D45" i="7"/>
  <c r="D78" i="7"/>
  <c r="D85" i="7" s="1"/>
  <c r="D65" i="7"/>
  <c r="D57" i="7" s="1"/>
  <c r="H45" i="7"/>
  <c r="H65" i="7"/>
  <c r="H57" i="7" s="1"/>
  <c r="H78" i="7"/>
  <c r="H85" i="7" s="1"/>
  <c r="O43" i="7"/>
  <c r="C39" i="5"/>
  <c r="J52" i="5"/>
  <c r="F60" i="5"/>
  <c r="N60" i="5"/>
  <c r="F61" i="5"/>
  <c r="E81" i="5"/>
  <c r="E73" i="5" s="1"/>
  <c r="E92" i="5"/>
  <c r="M36" i="7"/>
  <c r="O19" i="5"/>
  <c r="P19" i="5" s="1"/>
  <c r="F81" i="5"/>
  <c r="F73" i="5" s="1"/>
  <c r="L60" i="5"/>
  <c r="C81" i="5"/>
  <c r="C73" i="5" s="1"/>
  <c r="G81" i="5"/>
  <c r="G73" i="5" s="1"/>
  <c r="E36" i="7"/>
  <c r="L65" i="7"/>
  <c r="L57" i="7" s="1"/>
  <c r="O81" i="7"/>
  <c r="O22" i="7"/>
  <c r="N78" i="7"/>
  <c r="N85" i="7" s="1"/>
  <c r="C8" i="1" l="1"/>
  <c r="C10" i="1" s="1"/>
  <c r="O13" i="1"/>
  <c r="P339" i="2"/>
  <c r="O352" i="2"/>
  <c r="O156" i="5"/>
  <c r="O163" i="5" s="1"/>
  <c r="M3" i="1"/>
  <c r="M8" i="1" s="1"/>
  <c r="M10" i="1" s="1"/>
  <c r="O7" i="1"/>
  <c r="M163" i="5"/>
  <c r="M160" i="5"/>
  <c r="L95" i="5"/>
  <c r="K95" i="5"/>
  <c r="D95" i="5"/>
  <c r="M168" i="2"/>
  <c r="E168" i="2"/>
  <c r="L168" i="2"/>
  <c r="K168" i="2"/>
  <c r="O162" i="2"/>
  <c r="P91" i="5"/>
  <c r="P45" i="2"/>
  <c r="P24" i="2"/>
  <c r="O78" i="7"/>
  <c r="P84" i="2"/>
  <c r="O88" i="5"/>
  <c r="O95" i="5" s="1"/>
  <c r="P38" i="5"/>
  <c r="O10" i="1" l="1"/>
  <c r="O85" i="7"/>
  <c r="O3" i="1"/>
  <c r="O8" i="1" s="1"/>
  <c r="O138" i="7"/>
  <c r="P162" i="2"/>
  <c r="O168" i="2"/>
  <c r="C457" i="2"/>
  <c r="C457" i="2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Usuario</author>
  </authors>
  <commentList>
    <comment ref="D280" authorId="0" shapeId="0" xr:uid="{FF780A34-5193-4BF7-919C-A9B7DD4A8178}">
      <text>
        <r>
          <rPr>
            <b/>
            <sz val="9"/>
            <color indexed="81"/>
            <rFont val="Segoe UI"/>
            <family val="2"/>
          </rPr>
          <t>VIDA ATIVA: 
NÃO CONV: 2.876,54 12 P
CONV: 7.183,45 - 28p</t>
        </r>
      </text>
    </comment>
    <comment ref="C302" authorId="1" shapeId="0" xr:uid="{832FC880-8D40-4A3E-9105-4F9D64ACBF76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ATENDE E COLETA</t>
        </r>
      </text>
    </comment>
    <comment ref="D302" authorId="0" shapeId="0" xr:uid="{9B45E9D3-D1CA-47B8-9CA5-6C27FA4F300B}">
      <text>
        <r>
          <rPr>
            <b/>
            <sz val="9"/>
            <color indexed="81"/>
            <rFont val="Segoe UI"/>
            <family val="2"/>
          </rPr>
          <t>VIDA ATIVA: 
NÃO CONV: 2.876,54 12 P
CONV: 7.183,45 - 28p</t>
        </r>
      </text>
    </comment>
    <comment ref="C303" authorId="1" shapeId="0" xr:uid="{A6D51D6B-F61D-4056-B73C-61C1E233F2EA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ATENDE E FICA RESPONSAVEL PELA CONVERSAO </t>
        </r>
      </text>
    </comment>
    <comment ref="C304" authorId="1" shapeId="0" xr:uid="{6D402AB7-F643-488F-942A-F466928E91C9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ENTRA 7:30 - FECHAMENTO UNIDADE</t>
        </r>
      </text>
    </comment>
    <comment ref="C306" authorId="1" shapeId="0" xr:uid="{BCC42178-7A30-41EC-A86A-6F448B38A691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ESTAGIARIA DA CLINICA VIDA ATIVA E APOIO DOS SABADOS NA SEDE</t>
        </r>
      </text>
    </comment>
    <comment ref="C307" authorId="1" shapeId="0" xr:uid="{D9EEFF24-05F0-4AA8-A52E-4F60002F3A04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ATENDE E COLETA
ENTRA 6:00</t>
        </r>
      </text>
    </comment>
    <comment ref="C314" authorId="1" shapeId="0" xr:uid="{19FB31BD-80D1-457B-9012-2AD7BFEAE868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ATENDE E COLETA</t>
        </r>
      </text>
    </comment>
    <comment ref="D314" authorId="0" shapeId="0" xr:uid="{2A3CFEFB-C07E-4DE4-8EAA-C3F9E16E06A8}">
      <text>
        <r>
          <rPr>
            <b/>
            <sz val="9"/>
            <color indexed="81"/>
            <rFont val="Segoe UI"/>
            <family val="2"/>
          </rPr>
          <t>VIDA ATIVA: 
NÃO CONV: 2.876,54 12 P
CONV: 7.183,45 - 28p</t>
        </r>
      </text>
    </comment>
    <comment ref="C315" authorId="1" shapeId="0" xr:uid="{1EAD3BBE-4794-43D7-83E0-B34C02E136C8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ATENDE E FICA RESPONSAVEL PELA CONVERSAO </t>
        </r>
      </text>
    </comment>
    <comment ref="C316" authorId="1" shapeId="0" xr:uid="{F0310C4A-DF8F-4234-B4F4-A5CA73F64BB4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ENTRA 7:30 - FECHAMENTO UNIDADE</t>
        </r>
      </text>
    </comment>
    <comment ref="C318" authorId="1" shapeId="0" xr:uid="{3931D605-A326-484F-8415-A3954B2EA436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ESTAGIARIA DA CLINICA VIDA ATIVA E APOIO DOS SABADOS NA SEDE</t>
        </r>
      </text>
    </comment>
    <comment ref="C319" authorId="1" shapeId="0" xr:uid="{3DE557A4-76CB-4AC6-B492-DBCA7700B0FE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ATENDE E COLETA
ENTRA 6:00</t>
        </r>
      </text>
    </comment>
    <comment ref="C326" authorId="1" shapeId="0" xr:uid="{4FD12260-069C-4805-B3FC-5F92E01AF5EC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ATENDE E COLETA</t>
        </r>
      </text>
    </comment>
    <comment ref="D326" authorId="0" shapeId="0" xr:uid="{7989F97E-1F02-43CE-BBD8-B6393F8D9841}">
      <text>
        <r>
          <rPr>
            <b/>
            <sz val="9"/>
            <color indexed="81"/>
            <rFont val="Segoe UI"/>
            <family val="2"/>
          </rPr>
          <t>VIDA ATIVA: 
NÃO CONV: 2.876,54 12 P
CONV: 7.183,45 - 28p</t>
        </r>
      </text>
    </comment>
    <comment ref="C327" authorId="1" shapeId="0" xr:uid="{707DD2A3-D80C-4F93-BBE2-A57F4C855871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ATENDE E FICA RESPONSAVEL PELA CONVERSAO </t>
        </r>
      </text>
    </comment>
    <comment ref="C328" authorId="1" shapeId="0" xr:uid="{698EFC0B-E335-4131-B7BB-B15C33A0FF5B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ENTRA 7:30 - FECHAMENTO UNIDADE</t>
        </r>
      </text>
    </comment>
    <comment ref="C330" authorId="1" shapeId="0" xr:uid="{3D78F7C4-E0F3-497C-ADB8-44291C2FF5B3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ESTAGIARIA DA CLINICA VIDA ATIVA E APOIO DOS SABADOS NA SEDE</t>
        </r>
      </text>
    </comment>
    <comment ref="C331" authorId="1" shapeId="0" xr:uid="{16CA2BC7-D1C8-4E58-B899-95DECEE27888}">
      <text>
        <r>
          <rPr>
            <b/>
            <sz val="9"/>
            <color indexed="81"/>
            <rFont val="Segoe UI"/>
            <family val="2"/>
          </rPr>
          <t>Usuario:</t>
        </r>
        <r>
          <rPr>
            <sz val="9"/>
            <color indexed="81"/>
            <rFont val="Segoe UI"/>
            <family val="2"/>
          </rPr>
          <t xml:space="preserve">
ATENDE E COLETA
ENTRA 6:00</t>
        </r>
      </text>
    </comment>
    <comment ref="C405" authorId="0" shapeId="0" xr:uid="{ACA80E51-61FA-433B-941B-7A3559BA03C8}">
      <text>
        <r>
          <rPr>
            <b/>
            <sz val="9"/>
            <color indexed="81"/>
            <rFont val="Segoe UI"/>
            <charset val="1"/>
          </rPr>
          <t>User:</t>
        </r>
        <r>
          <rPr>
            <sz val="9"/>
            <color indexed="81"/>
            <rFont val="Segoe UI"/>
            <charset val="1"/>
          </rPr>
          <t xml:space="preserve">
ATENDE E COLETA 
ESTAGIARIA VIDA ATIVA E SABADOS SUPORTE SEDE</t>
        </r>
      </text>
    </comment>
    <comment ref="C407" authorId="0" shapeId="0" xr:uid="{AF0AFDA6-8B23-411E-9A08-B7CA03AE8A09}">
      <text>
        <r>
          <rPr>
            <b/>
            <sz val="9"/>
            <color indexed="81"/>
            <rFont val="Segoe UI"/>
            <charset val="1"/>
          </rPr>
          <t>User:</t>
        </r>
        <r>
          <rPr>
            <sz val="9"/>
            <color indexed="81"/>
            <rFont val="Segoe UI"/>
            <charset val="1"/>
          </rPr>
          <t xml:space="preserve">
RESPONSAVEL PELA COLETA -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337" authorId="0" shapeId="0" xr:uid="{2C6AF9D9-EA36-4955-ADBA-06408A9E358E}">
      <text>
        <r>
          <rPr>
            <b/>
            <sz val="9"/>
            <color indexed="81"/>
            <rFont val="Segoe UI"/>
            <charset val="1"/>
          </rPr>
          <t>User:</t>
        </r>
        <r>
          <rPr>
            <sz val="9"/>
            <color indexed="81"/>
            <rFont val="Segoe UI"/>
            <charset val="1"/>
          </rPr>
          <t xml:space="preserve">
ATENDE E COLETA</t>
        </r>
      </text>
    </comment>
    <comment ref="C338" authorId="0" shapeId="0" xr:uid="{6DDF59B9-AAE1-4E6D-943E-194BE81F1C96}">
      <text>
        <r>
          <rPr>
            <b/>
            <sz val="9"/>
            <color indexed="81"/>
            <rFont val="Segoe UI"/>
            <charset val="1"/>
          </rPr>
          <t>User:</t>
        </r>
        <r>
          <rPr>
            <sz val="9"/>
            <color indexed="81"/>
            <rFont val="Segoe UI"/>
            <charset val="1"/>
          </rPr>
          <t xml:space="preserve">
ATENDE E COLETA</t>
        </r>
      </text>
    </comment>
    <comment ref="C339" authorId="0" shapeId="0" xr:uid="{44919875-6470-4B0D-94EB-648A63892E7A}">
      <text>
        <r>
          <rPr>
            <b/>
            <sz val="9"/>
            <color indexed="81"/>
            <rFont val="Segoe UI"/>
            <charset val="1"/>
          </rPr>
          <t>User:</t>
        </r>
        <r>
          <rPr>
            <sz val="9"/>
            <color indexed="81"/>
            <rFont val="Segoe UI"/>
            <charset val="1"/>
          </rPr>
          <t xml:space="preserve">
ATENDE E COLETA - ESTAGIARIA 6 HORAS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User</author>
  </authors>
  <commentList>
    <comment ref="G78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20.000</t>
        </r>
      </text>
    </comment>
    <comment ref="G138" authorId="0" shapeId="0" xr:uid="{E0E43F19-E62F-4C1F-9793-A4E83DF5D110}">
      <text>
        <r>
          <rPr>
            <sz val="11"/>
            <color theme="1"/>
            <rFont val="Calibri"/>
            <family val="2"/>
            <scheme val="minor"/>
          </rPr>
          <t>20.000</t>
        </r>
      </text>
    </comment>
    <comment ref="G265" authorId="0" shapeId="0" xr:uid="{94A81673-D779-497A-A295-E5908F8BB296}">
      <text>
        <r>
          <rPr>
            <sz val="11"/>
            <color theme="1"/>
            <rFont val="Calibri"/>
            <family val="2"/>
            <scheme val="minor"/>
          </rPr>
          <t>20.000</t>
        </r>
      </text>
    </comment>
    <comment ref="C311" authorId="1" shapeId="0" xr:uid="{7DCA3749-2A89-4B90-B72A-6724668323FE}">
      <text>
        <r>
          <rPr>
            <b/>
            <sz val="9"/>
            <color indexed="81"/>
            <rFont val="Segoe UI"/>
            <charset val="1"/>
          </rPr>
          <t>User:</t>
        </r>
        <r>
          <rPr>
            <sz val="9"/>
            <color indexed="81"/>
            <rFont val="Segoe UI"/>
            <charset val="1"/>
          </rPr>
          <t xml:space="preserve">
ATENDE E COLETA </t>
        </r>
      </text>
    </comment>
    <comment ref="C312" authorId="1" shapeId="0" xr:uid="{88DAACE7-BA90-4028-858C-E3AAD4C80DDC}">
      <text>
        <r>
          <rPr>
            <b/>
            <sz val="9"/>
            <color indexed="81"/>
            <rFont val="Segoe UI"/>
            <charset val="1"/>
          </rPr>
          <t>User:</t>
        </r>
        <r>
          <rPr>
            <sz val="9"/>
            <color indexed="81"/>
            <rFont val="Segoe UI"/>
            <charset val="1"/>
          </rPr>
          <t xml:space="preserve">
ATENDE E COLETA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<sst xmlns="http://schemas.openxmlformats.org/spreadsheetml/2006/main" count="3224" uniqueCount="696">
  <si>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</si>
  <si>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</si>
  <si>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</si>
  <si>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</si>
  <si>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</si>
  <si>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</si>
  <si>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</si>
  <si>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</si>
  <si>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</si>
  <si>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</si>
  <si>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</si>
  <si>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</si>
  <si>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meta 2021</t>
  </si>
  <si>
    <t xml:space="preserve">Convênio </t>
  </si>
  <si>
    <t xml:space="preserve">Particular </t>
  </si>
  <si>
    <t>REALIZADO 2021</t>
  </si>
  <si>
    <t>base meta 2020</t>
  </si>
  <si>
    <t>ano anterior</t>
  </si>
  <si>
    <t xml:space="preserve">Pacientes </t>
  </si>
  <si>
    <t>Exames</t>
  </si>
  <si>
    <t>tk medio</t>
  </si>
  <si>
    <t>2022 - indicadores</t>
  </si>
  <si>
    <t xml:space="preserve">pacientes </t>
  </si>
  <si>
    <t>exames</t>
  </si>
  <si>
    <t>indice de satisfação</t>
  </si>
  <si>
    <t>meta 2022</t>
  </si>
  <si>
    <t>base meta 2021</t>
  </si>
  <si>
    <t>meta 2023</t>
  </si>
  <si>
    <t>meta 2024</t>
  </si>
  <si>
    <t>PROJEÇÃO POSTOS SANTA LUZ CENTRO</t>
  </si>
  <si>
    <t>base meta 2019</t>
  </si>
  <si>
    <t xml:space="preserve">meta 2022 35 MIL </t>
  </si>
  <si>
    <t>REALIZADO 2022</t>
  </si>
  <si>
    <t>base meta 2022</t>
  </si>
  <si>
    <t xml:space="preserve">Orçamento Registrado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</si>
  <si>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</si>
  <si>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Orçamento Convertido </t>
  </si>
  <si>
    <t xml:space="preserve">Orçamento NÃO Convertido </t>
  </si>
  <si>
    <t>% de conversão</t>
  </si>
  <si>
    <t>pacientes novos</t>
  </si>
  <si>
    <t>boas energias</t>
  </si>
  <si>
    <t>REALIZADO 2023</t>
  </si>
  <si>
    <t>Atualizado em:</t>
  </si>
  <si>
    <t>fluxo financeiro</t>
  </si>
  <si>
    <t>Indice de desconto</t>
  </si>
  <si>
    <t>Pacientes perdidos</t>
  </si>
  <si>
    <t xml:space="preserve">pacientes perdidos relatorio </t>
  </si>
  <si>
    <t>2023 - indicadores</t>
  </si>
  <si>
    <t>%</t>
  </si>
  <si>
    <t>Média de exames</t>
  </si>
  <si>
    <t>TK medio</t>
  </si>
  <si>
    <t>Qtd.</t>
  </si>
  <si>
    <t xml:space="preserve">  </t>
  </si>
  <si>
    <t>Raking Medicos Top5</t>
  </si>
  <si>
    <t>nomes</t>
  </si>
  <si>
    <t>Iacira Magalhães</t>
  </si>
  <si>
    <t xml:space="preserve">Ionei Matos </t>
  </si>
  <si>
    <t xml:space="preserve">Bianca Da Silva </t>
  </si>
  <si>
    <t>Danilo Madureira</t>
  </si>
  <si>
    <t>Orlando Dourado</t>
  </si>
  <si>
    <t>*rever com base na realidade</t>
  </si>
  <si>
    <t>meta com ações</t>
  </si>
  <si>
    <t>REALIZADO 2024</t>
  </si>
  <si>
    <t>base meta 2023</t>
  </si>
  <si>
    <t>16.05.2024</t>
  </si>
  <si>
    <t xml:space="preserve"> indicadores</t>
  </si>
  <si>
    <t xml:space="preserve"> Medicos</t>
  </si>
  <si>
    <t>IACIRA MAGALHAES</t>
  </si>
  <si>
    <t>IACIRA MAGALHÃES</t>
  </si>
  <si>
    <t>IONEI MATOS</t>
  </si>
  <si>
    <t>IONEI DE MATOS</t>
  </si>
  <si>
    <t>LUIZ DELFINO</t>
  </si>
  <si>
    <t>BIANCA DA SILVA</t>
  </si>
  <si>
    <t>ROBSON CEDRAZ</t>
  </si>
  <si>
    <t>RAVENA MIRANDA</t>
  </si>
  <si>
    <t>VITÓRIA GONZAGA</t>
  </si>
  <si>
    <t>WILSON F. SANTIAGO</t>
  </si>
  <si>
    <t>MARILIA PIO CARNEIRO</t>
  </si>
  <si>
    <t>BERNARDO JUNIOR</t>
  </si>
  <si>
    <t>SUS</t>
  </si>
  <si>
    <t>CISSA f. l. ARAUJO</t>
  </si>
  <si>
    <t>ENIO HENRIQUE RIOS</t>
  </si>
  <si>
    <t>Moto</t>
  </si>
  <si>
    <t>GELSON CARNEIRO</t>
  </si>
  <si>
    <t>MARILIA PIO</t>
  </si>
  <si>
    <t>Gerente</t>
  </si>
  <si>
    <t>VAGNER ANGELIS DE MELO</t>
  </si>
  <si>
    <t>WILGO F. SANTIAGO</t>
  </si>
  <si>
    <t>Infraestrtututa fdsa unidade</t>
  </si>
  <si>
    <t>BENVINDA MATIAS</t>
  </si>
  <si>
    <t>VICTORIA GONZAGA</t>
  </si>
  <si>
    <t>1 colaborador total d 5</t>
  </si>
  <si>
    <t>CATHARYNNE SANCHO</t>
  </si>
  <si>
    <t>CLAUDIA SOUZA</t>
  </si>
  <si>
    <t>em 6 meses</t>
  </si>
  <si>
    <t>meta 2020</t>
  </si>
  <si>
    <t>Nova meta corona virus</t>
  </si>
  <si>
    <t>Indice de satisfação</t>
  </si>
  <si>
    <t xml:space="preserve"> </t>
  </si>
  <si>
    <t>ANDRE RICARDO</t>
  </si>
  <si>
    <t>ICARO MURTA</t>
  </si>
  <si>
    <t>JANE FERREIRA</t>
  </si>
  <si>
    <t>GRAZIELLE CARVALHO</t>
  </si>
  <si>
    <t>JOAO ESTRELA</t>
  </si>
  <si>
    <t>CATARINA CRUZ</t>
  </si>
  <si>
    <t>ALONSO ARAUJO</t>
  </si>
  <si>
    <t>ALEX SOUZA GUEDES</t>
  </si>
  <si>
    <t>PROJEÇÃO POSTOS CONCEIÇÃO DO COITÉ</t>
  </si>
  <si>
    <t>PROJEÇÃO 2020</t>
  </si>
  <si>
    <t>CÁLCULO VARIÁVEL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</si>
  <si>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</si>
  <si>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base meta </t>
  </si>
  <si>
    <t>Grazielle Carvalho</t>
  </si>
  <si>
    <t>MÉDIOS</t>
  </si>
  <si>
    <t>CATHARYNE SANCHO</t>
  </si>
  <si>
    <t>FLAVIO KUDO</t>
  </si>
  <si>
    <t>ARY ALVES</t>
  </si>
  <si>
    <t>RITA DE CASSIA MARTINS</t>
  </si>
  <si>
    <t>WANDERSON DA SILVA</t>
  </si>
  <si>
    <t>MARCIA REBOUÇAS</t>
  </si>
  <si>
    <t>AUGUSTO CESAR</t>
  </si>
  <si>
    <t>CYNTHIA DE ALMEIDA</t>
  </si>
  <si>
    <t xml:space="preserve">HAIRTON COSTA </t>
  </si>
  <si>
    <t>JOSE MORAIS</t>
  </si>
  <si>
    <t>ANDRÉ RICARDO</t>
  </si>
  <si>
    <t xml:space="preserve">JOSE MORAES </t>
  </si>
  <si>
    <t>LOHANA ALMEIDA</t>
  </si>
  <si>
    <t>HILDEMAR RAIMUNDO</t>
  </si>
  <si>
    <t>LAYZA DOS SANTOS</t>
  </si>
  <si>
    <t>LAILLA DE ALMEIDA</t>
  </si>
  <si>
    <t>IDELBRANDO IÊDO</t>
  </si>
  <si>
    <t>JANE FERREIRA CARVALHO</t>
  </si>
  <si>
    <t>JOSE MORAES</t>
  </si>
  <si>
    <t>JOAO RICARDO PINTO</t>
  </si>
  <si>
    <t>JOÃO RICARDO PINTO</t>
  </si>
  <si>
    <t>PAULO OLIVEIRA</t>
  </si>
  <si>
    <t>PROJEÇÃO POSTOS VALENTE</t>
  </si>
  <si>
    <t>alimentar</t>
  </si>
  <si>
    <t>Quant. Pesquisas</t>
  </si>
  <si>
    <t>Simone Pereira</t>
  </si>
  <si>
    <t>Benvinda Matias</t>
  </si>
  <si>
    <t>Luiz Delfino</t>
  </si>
  <si>
    <t>Gelson Carneiro</t>
  </si>
  <si>
    <t>Glelson</t>
  </si>
  <si>
    <t xml:space="preserve"> MÉDICOS </t>
  </si>
  <si>
    <t>ZENON NUNES</t>
  </si>
  <si>
    <t>MARIA LUZANETE</t>
  </si>
  <si>
    <t>BIANCCA MOREIRA</t>
  </si>
  <si>
    <t>RICARDO SOBRAL</t>
  </si>
  <si>
    <t>IONE MACEDO</t>
  </si>
  <si>
    <t>LAIS MOTA</t>
  </si>
  <si>
    <t>GLAUCIANA T.B.</t>
  </si>
  <si>
    <t>GLAUCIANA T.B</t>
  </si>
  <si>
    <t>MARIALUZANETE</t>
  </si>
  <si>
    <t>CISSA F. L. ARAUJO</t>
  </si>
  <si>
    <t>BIANCA DE SILVA CARN</t>
  </si>
  <si>
    <t>ANE CAROLIME CARVA</t>
  </si>
  <si>
    <t>GEANNE MASCARENHAS</t>
  </si>
  <si>
    <t xml:space="preserve">KARINE ARAUJO </t>
  </si>
  <si>
    <t>DIOGENES CARLOS</t>
  </si>
  <si>
    <t>AUGUSTO CESAR QUINT</t>
  </si>
  <si>
    <t>SIMONE MUNIZ</t>
  </si>
  <si>
    <t>VALESKA F.O.DE ELES</t>
  </si>
  <si>
    <t>CATHARYNNE SABCHO</t>
  </si>
  <si>
    <t>BRUNO S BOAVENTURA</t>
  </si>
  <si>
    <t>RITA CRISTINA</t>
  </si>
  <si>
    <t>AGENOR PAIVA JUNIOR</t>
  </si>
  <si>
    <t>DANILO MADUREIRA</t>
  </si>
  <si>
    <t>ANTONIO NUNES</t>
  </si>
  <si>
    <t>ACLIVIA LOPES</t>
  </si>
  <si>
    <t>ANDRE VIEIRA LUZ</t>
  </si>
  <si>
    <t>RICARDO MIRANDA</t>
  </si>
  <si>
    <t>ELAINE OLIVEIRA</t>
  </si>
  <si>
    <t>GLAUCIANE T.B.</t>
  </si>
  <si>
    <t>18.06.2024</t>
  </si>
  <si>
    <t>CISSA F. l. ARAUJO</t>
  </si>
  <si>
    <t>TARSIS LEONARDO</t>
  </si>
  <si>
    <t>HERMELINO LOPES</t>
  </si>
  <si>
    <t>ADRIANO FONSECA</t>
  </si>
  <si>
    <t>HENIO HENRIQUE RIOS</t>
  </si>
  <si>
    <t>GENOVIEVE MARINE</t>
  </si>
  <si>
    <t>JAILTON C. ARAUJO</t>
  </si>
  <si>
    <t>DANILO MADUREIR</t>
  </si>
  <si>
    <t>YARITZA HECHOVARRIA</t>
  </si>
  <si>
    <t>MARIA GADAS</t>
  </si>
  <si>
    <t>MARCELO PINTO</t>
  </si>
  <si>
    <t>TALITA COSTA</t>
  </si>
  <si>
    <t>LEON FRAITAS</t>
  </si>
  <si>
    <t>BIANCA DA SILVA CARNEIRO</t>
  </si>
  <si>
    <t>LEONARDO ARAUJO</t>
  </si>
  <si>
    <t>CISSA F L ARAUJO</t>
  </si>
  <si>
    <t>ANTHONY MOTA</t>
  </si>
  <si>
    <t>WILSON F SANTIAGO</t>
  </si>
  <si>
    <t>JOILMA O. RIBEIRO</t>
  </si>
  <si>
    <t xml:space="preserve">AROLDO PORTUGAL </t>
  </si>
  <si>
    <t>CESAR AUGUSTO</t>
  </si>
  <si>
    <t>MARCIA REBOUCAS</t>
  </si>
  <si>
    <t>PRISCILA MACEDO ROSA</t>
  </si>
  <si>
    <t>MARCELO LIMA</t>
  </si>
  <si>
    <t>JOSE NILTON</t>
  </si>
  <si>
    <t>EDUADO DOURADO</t>
  </si>
  <si>
    <t>VAGNER ANGELIS DE MO</t>
  </si>
  <si>
    <t>CARLA FREITAS</t>
  </si>
  <si>
    <t>RENATA ANDION ARRUTI</t>
  </si>
  <si>
    <t>REINALDO ATAIDE</t>
  </si>
  <si>
    <t>FERNANDO FILHO</t>
  </si>
  <si>
    <t>RENAN KISNER S</t>
  </si>
  <si>
    <t>GILMAR QUEIROZ FIRMO</t>
  </si>
  <si>
    <t xml:space="preserve">GLEUCIANA T.B. </t>
  </si>
  <si>
    <t>BERANRDO JUNIOR</t>
  </si>
  <si>
    <t>MARCIO SOUZA NASCIEMNTO</t>
  </si>
  <si>
    <t>CLARISSA GONCALVES</t>
  </si>
  <si>
    <t>ISAAC M PIMENTEL</t>
  </si>
  <si>
    <t>cresc a.a</t>
  </si>
  <si>
    <t>pacientes dia</t>
  </si>
  <si>
    <t>CISSA F L  ARAUJO</t>
  </si>
  <si>
    <t>MAURICIO FERREIRA</t>
  </si>
  <si>
    <t>IANE MACEDO</t>
  </si>
  <si>
    <t>JAILTON C ARAUJO</t>
  </si>
  <si>
    <t>ALMIR FERREIRA</t>
  </si>
  <si>
    <t>IZALMIR DA SILVA</t>
  </si>
  <si>
    <t>LEON FREITAS RIOS</t>
  </si>
  <si>
    <t>SIMONE PEREIRA</t>
  </si>
  <si>
    <t>PERICLES DE AZEVEDO</t>
  </si>
  <si>
    <t>LEONARDO SANTANA</t>
  </si>
  <si>
    <t>EDDIE CYRO Q. GUSMAO</t>
  </si>
  <si>
    <t>JOSE ARINALDO</t>
  </si>
  <si>
    <t>IONEI MAGALHAES</t>
  </si>
  <si>
    <t>ALEF CARVALHO</t>
  </si>
  <si>
    <t>CRISLAINE CARVALHO</t>
  </si>
  <si>
    <t>ARILIA PIO CARNEIRO</t>
  </si>
  <si>
    <t>R$ atend</t>
  </si>
  <si>
    <t xml:space="preserve">OR realizado </t>
  </si>
  <si>
    <t xml:space="preserve">OR convertido </t>
  </si>
  <si>
    <t xml:space="preserve">% </t>
  </si>
  <si>
    <t>Cristina</t>
  </si>
  <si>
    <t>Maielen</t>
  </si>
  <si>
    <t>Chaiane</t>
  </si>
  <si>
    <t>Vanessa</t>
  </si>
  <si>
    <t>Glória</t>
  </si>
  <si>
    <t>Alice</t>
  </si>
  <si>
    <t>Rute</t>
  </si>
  <si>
    <t>Irailma</t>
  </si>
  <si>
    <t>Quele</t>
  </si>
  <si>
    <t>07.10.2024</t>
  </si>
  <si>
    <t>SILVANIO P DA ROCHA</t>
  </si>
  <si>
    <t>CALILLA  ARAUJO</t>
  </si>
  <si>
    <t>NHADYLA LOPES</t>
  </si>
  <si>
    <t>ADELMO BARROS</t>
  </si>
  <si>
    <t>GABRIEL OLIVEIRA</t>
  </si>
  <si>
    <t>REGIS DE ANRADE</t>
  </si>
  <si>
    <t>LAYANA ANIZIA VIEIRA</t>
  </si>
  <si>
    <t>TULIO ARAUJO OLIVEIRA</t>
  </si>
  <si>
    <t>ARIELE ANGEL</t>
  </si>
  <si>
    <t>JOSE FELIPE</t>
  </si>
  <si>
    <t>IANE MACEDO ARAUJO</t>
  </si>
  <si>
    <t>PATRICIA BACELAR</t>
  </si>
  <si>
    <t>TIANA CARNEIRO</t>
  </si>
  <si>
    <t>MILLENE REIS</t>
  </si>
  <si>
    <t>meta 2025</t>
  </si>
  <si>
    <t>REALIZADO 2025</t>
  </si>
  <si>
    <t>realizado 2025</t>
  </si>
  <si>
    <t>base meta 2025</t>
  </si>
  <si>
    <t>MÊS</t>
  </si>
  <si>
    <t>COLABORADOR</t>
  </si>
  <si>
    <t>PAC</t>
  </si>
  <si>
    <t>Ñ CONVERTIDO</t>
  </si>
  <si>
    <t>CONVERTIDO</t>
  </si>
  <si>
    <t>QNT DE PAC</t>
  </si>
  <si>
    <t>QNT TOT  PAC</t>
  </si>
  <si>
    <t>RETENÇÃO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</si>
  <si>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</si>
  <si>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</si>
  <si>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</si>
  <si>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</si>
  <si>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</si>
  <si>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</si>
  <si>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</si>
  <si>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</si>
  <si>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</si>
  <si>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</si>
  <si>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</si>
  <si>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</si>
  <si>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MAIELEN</t>
  </si>
  <si>
    <t>CHAIANE</t>
  </si>
  <si>
    <t>VANESSA</t>
  </si>
  <si>
    <t>QUELE</t>
  </si>
  <si>
    <t>CRISTINA</t>
  </si>
  <si>
    <t>IRAILMA</t>
  </si>
  <si>
    <t>INGREDY</t>
  </si>
  <si>
    <t>RUTE</t>
  </si>
  <si>
    <t>ALICE</t>
  </si>
  <si>
    <t>JAILTON C ARUJO</t>
  </si>
  <si>
    <t>WILGON F. SANTIAGO</t>
  </si>
  <si>
    <t>DARLAN KLEBER SOUZA</t>
  </si>
  <si>
    <t>FABRICIO O PRATES</t>
  </si>
  <si>
    <t>BRUNO QUEIROZ</t>
  </si>
  <si>
    <t>LEON FRITAS RIOS</t>
  </si>
  <si>
    <t>ALANE SILVA CORREIRA</t>
  </si>
  <si>
    <t>ALINE JARDIM</t>
  </si>
  <si>
    <t xml:space="preserve">AGENOR PAIVA </t>
  </si>
  <si>
    <t>CLAUDIO RAMOS</t>
  </si>
  <si>
    <t>NADJANE MIRANDA</t>
  </si>
  <si>
    <t xml:space="preserve">JOSE FLEIPE </t>
  </si>
  <si>
    <t>FRANCIMEIRE CARVALHO</t>
  </si>
  <si>
    <t>CARLOS MAGALHAES</t>
  </si>
  <si>
    <t>WILLIAM MACHADO</t>
  </si>
  <si>
    <t>ANTENOR LEITE</t>
  </si>
  <si>
    <t>MAIRLE DE MOURA</t>
  </si>
  <si>
    <t>MIGUEL FERREIRA</t>
  </si>
  <si>
    <t>HYAGGO CARVALHO</t>
  </si>
  <si>
    <t>JULIAMA CLOSS</t>
  </si>
  <si>
    <t>RAFFAELA OLIVEIRA</t>
  </si>
  <si>
    <t>MARILIA CARNEIRO</t>
  </si>
  <si>
    <t>JADE CEDRA ALELUIA</t>
  </si>
  <si>
    <t>JUCIVAN DE SOUZA</t>
  </si>
  <si>
    <t>ANDRE PERA TOME</t>
  </si>
  <si>
    <t>FALVIO KUDO</t>
  </si>
  <si>
    <t>GILDASIO DA SILVA</t>
  </si>
  <si>
    <t>SEGIO LIMA MARTINS</t>
  </si>
  <si>
    <t xml:space="preserve">AIDIL M BAHIANA </t>
  </si>
  <si>
    <t>RAFAEL COSTA DIAS</t>
  </si>
  <si>
    <t>ISA ALVES ROCHA</t>
  </si>
  <si>
    <t>INDIARA</t>
  </si>
  <si>
    <t>LILIANE</t>
  </si>
  <si>
    <t>ITALOH</t>
  </si>
  <si>
    <t>IARIRA MAGALHAES</t>
  </si>
  <si>
    <t>FRANCISCO LEON SILVA</t>
  </si>
  <si>
    <t>NEYKA KARILINE</t>
  </si>
  <si>
    <t>LANI SAMILLI SOARES</t>
  </si>
  <si>
    <t>MANUELLA BOAVENTURA</t>
  </si>
  <si>
    <t>MATEUS S MEDEIROS</t>
  </si>
  <si>
    <t>LAILLA DE MATOS</t>
  </si>
  <si>
    <t>IARA PETRONIO</t>
  </si>
  <si>
    <t>SYSSI AMANCIO</t>
  </si>
  <si>
    <t>MARIANNA RAMOS</t>
  </si>
  <si>
    <t>JOAO RIACRDO PINTO</t>
  </si>
  <si>
    <t>IACIRA MAGALHES</t>
  </si>
  <si>
    <t xml:space="preserve">VAGNER ANGELIS </t>
  </si>
  <si>
    <t>CACILDA MARION</t>
  </si>
  <si>
    <t>Coleta Rural</t>
  </si>
  <si>
    <t>DR. JAILTON ( UE8)</t>
  </si>
  <si>
    <t>IRAILMA/férias</t>
  </si>
  <si>
    <t>DIEGO MARTSON</t>
  </si>
  <si>
    <t>IONEI DA MATOS</t>
  </si>
  <si>
    <t>WILSON ANGELO</t>
  </si>
  <si>
    <t>HAIRTON COSTA</t>
  </si>
  <si>
    <t>JORLANDIO PEREIRA</t>
  </si>
  <si>
    <t>BRENO CEDRA ANDRADE</t>
  </si>
  <si>
    <t xml:space="preserve">JOAO MARCELO </t>
  </si>
  <si>
    <t>NIARA ABREU COSTA</t>
  </si>
  <si>
    <t>FRANCISCO LEON</t>
  </si>
  <si>
    <t>JURANDIR LOPES</t>
  </si>
  <si>
    <t>MARY STELLA</t>
  </si>
  <si>
    <t>ROSA ARGENTINA</t>
  </si>
  <si>
    <t xml:space="preserve">VANIVLDO CESAR </t>
  </si>
  <si>
    <t>AIDIL M . BAHIANA</t>
  </si>
  <si>
    <t>IRAILAMA</t>
  </si>
  <si>
    <t>ANTONY (COLETA)</t>
  </si>
  <si>
    <t xml:space="preserve">VANESSA (COLETA) </t>
  </si>
  <si>
    <t>MARIA EDUARDA</t>
  </si>
  <si>
    <t>TAISLANE</t>
  </si>
  <si>
    <t>LAIANE</t>
  </si>
  <si>
    <t xml:space="preserve">ALICE </t>
  </si>
  <si>
    <t>KAILANE</t>
  </si>
  <si>
    <t>CRISLAINE CARNEIRO</t>
  </si>
  <si>
    <t>FELIPE ANTUNES</t>
  </si>
  <si>
    <t>MILENA VITORIO</t>
  </si>
  <si>
    <t>MARCELLA  GUIMARAES</t>
  </si>
  <si>
    <t>MAYRA VAZ</t>
  </si>
  <si>
    <t>BRENDA OLIVEIRA</t>
  </si>
  <si>
    <t>TULIO ARAUJO</t>
  </si>
  <si>
    <t xml:space="preserve">NIARA ABREU </t>
  </si>
  <si>
    <t xml:space="preserve">JOSE FILIPE </t>
  </si>
  <si>
    <t xml:space="preserve">GLEUCIANA </t>
  </si>
  <si>
    <t>RITA DE CASSIA</t>
  </si>
  <si>
    <t>JULIANA ROCHA</t>
  </si>
  <si>
    <t xml:space="preserve">MARCO TITO </t>
  </si>
  <si>
    <t xml:space="preserve">ARTHUR TELES </t>
  </si>
  <si>
    <t xml:space="preserve">CLARA RIOS </t>
  </si>
  <si>
    <t xml:space="preserve">DANILO MADUREIRA </t>
  </si>
  <si>
    <t xml:space="preserve">IONEI MATOS </t>
  </si>
  <si>
    <t xml:space="preserve">ROSA ARGENTINA </t>
  </si>
  <si>
    <t>JOAO SANCHO</t>
  </si>
  <si>
    <t>JOSE FILIPE</t>
  </si>
  <si>
    <t>JAILTON C.ARAUJO</t>
  </si>
  <si>
    <t>LUCIENE LOPES</t>
  </si>
  <si>
    <t xml:space="preserve">IONEI DE MATOS </t>
  </si>
  <si>
    <t>ANDRE LUIZ K. NAKAG</t>
  </si>
  <si>
    <t>WILGOF. SANTIAGO</t>
  </si>
  <si>
    <t>GABRIEL PINTO DANTAS</t>
  </si>
  <si>
    <t xml:space="preserve">CARLOS FRANCISCO </t>
  </si>
  <si>
    <t>CATARINA CRUZ CARNEIRO</t>
  </si>
  <si>
    <t>GRAZIELE CARVALHO</t>
  </si>
  <si>
    <t>BRENO CEDRAZ ANDRADE</t>
  </si>
  <si>
    <t xml:space="preserve">JUSCIVAN DE SOUSA </t>
  </si>
  <si>
    <t>AGENOR PAIVA</t>
  </si>
  <si>
    <t xml:space="preserve">JULIANA ROCHA VELOSO </t>
  </si>
  <si>
    <t xml:space="preserve">LAYS RAMOS ARAUJO </t>
  </si>
  <si>
    <t xml:space="preserve">MARIA G.LIMA </t>
  </si>
  <si>
    <t xml:space="preserve">ZAIRA RIOS </t>
  </si>
  <si>
    <t xml:space="preserve">ANA OLIVIA </t>
  </si>
  <si>
    <t>RAFAEL OLIVEIRA LOPES</t>
  </si>
  <si>
    <t xml:space="preserve">JOSE FELIPE </t>
  </si>
  <si>
    <t xml:space="preserve">CARINA RIOS </t>
  </si>
  <si>
    <t xml:space="preserve">ALONSO ARAUJO </t>
  </si>
  <si>
    <t>ERISVALDO DE OLIVEIRA</t>
  </si>
  <si>
    <t>QUELLE</t>
  </si>
  <si>
    <t xml:space="preserve">ITALO </t>
  </si>
  <si>
    <t xml:space="preserve">LILIANE (COLETA) </t>
  </si>
  <si>
    <t>M.EDUARDA  COLETA/ ATTEND</t>
  </si>
  <si>
    <t>Fat por colab</t>
  </si>
  <si>
    <t>fat por colab</t>
  </si>
  <si>
    <t>KAILANE(ESTAGIARIA)</t>
  </si>
  <si>
    <t>INGREDY (ESTG)</t>
  </si>
  <si>
    <t>INGRID</t>
  </si>
  <si>
    <t>ITALOH (ESTG)</t>
  </si>
  <si>
    <t>INDIARA (ESTG)</t>
  </si>
  <si>
    <t>THALITA COLETA</t>
  </si>
  <si>
    <t>ANTONY COLETA</t>
  </si>
  <si>
    <t>LUCIANA BEHRMANN</t>
  </si>
  <si>
    <t>HAIANE ARAUJO</t>
  </si>
  <si>
    <t>ANA OLIVEIRA</t>
  </si>
  <si>
    <t>SAMUEL DALE</t>
  </si>
  <si>
    <t>MARIA G.LIMA</t>
  </si>
  <si>
    <t>CIBELE PESSOA</t>
  </si>
  <si>
    <t>LUIS HENRIQUE</t>
  </si>
  <si>
    <t>MARCOS TEIXEIRA</t>
  </si>
  <si>
    <t xml:space="preserve"> BRENDA OLIVEIRA</t>
  </si>
  <si>
    <t>VITOR RAMOS RIOS</t>
  </si>
  <si>
    <t xml:space="preserve">ANDRE RICARDO </t>
  </si>
  <si>
    <t>MARCO TITO MOTA</t>
  </si>
  <si>
    <t>RAFAEL COSTAS DIAS</t>
  </si>
  <si>
    <t>LILIANE SANTOS</t>
  </si>
  <si>
    <t>KAILANE ( EST)</t>
  </si>
  <si>
    <t xml:space="preserve"> BIANCA DA SILVA</t>
  </si>
  <si>
    <t xml:space="preserve">VICTORIA GONZAGA </t>
  </si>
  <si>
    <t>GABRIEL DOS SANTOS</t>
  </si>
  <si>
    <t>GABRIEL PINTO9</t>
  </si>
  <si>
    <t>RAFAEL B FERNANDES</t>
  </si>
  <si>
    <t>HILDEMIR RAIMUNDO</t>
  </si>
  <si>
    <t xml:space="preserve">HAIANE ARAUJO </t>
  </si>
  <si>
    <t>NAIARA ABREU</t>
  </si>
  <si>
    <t>LUIZ HEBNRIQUE</t>
  </si>
  <si>
    <t>ESMIURKY GUIBERT</t>
  </si>
  <si>
    <t>MARCIO CARNEIRO</t>
  </si>
  <si>
    <t>MARIA G LIMA</t>
  </si>
  <si>
    <t>GELSO CARNEIRO</t>
  </si>
  <si>
    <t>ARTHUR TELES</t>
  </si>
  <si>
    <t>NATALIA LOPES</t>
  </si>
  <si>
    <t>ENIO HENRIQUE</t>
  </si>
  <si>
    <t xml:space="preserve">LUIZ DELFINO </t>
  </si>
  <si>
    <t xml:space="preserve">NOVEMBRO </t>
  </si>
  <si>
    <t>1O</t>
  </si>
  <si>
    <t>INDIARAS (COLETA)</t>
  </si>
  <si>
    <t>meta 2026</t>
  </si>
  <si>
    <t>REALIZADO 2026</t>
  </si>
  <si>
    <t>realizado 2026</t>
  </si>
  <si>
    <t>DESCONTO %</t>
  </si>
  <si>
    <t>VALOR DA COMISSÃO</t>
  </si>
  <si>
    <t>TOXICOLOGICO</t>
  </si>
  <si>
    <t>SEXAGEM FETAL</t>
  </si>
  <si>
    <t xml:space="preserve">QNT COMI  </t>
  </si>
  <si>
    <t>TOTAL</t>
  </si>
  <si>
    <t>VALOR ANO</t>
  </si>
  <si>
    <t>BONUS</t>
  </si>
  <si>
    <t xml:space="preserve">TOTAL GERAL </t>
  </si>
  <si>
    <t>TOTAL GERAL</t>
  </si>
  <si>
    <t>TOTAL ANO/ LIDERANÇA</t>
  </si>
  <si>
    <t>TOTAL BALCÃO</t>
  </si>
  <si>
    <t>meta%</t>
  </si>
  <si>
    <t>QNT TOT  ORÇ</t>
  </si>
  <si>
    <t>ITALOH (EST)</t>
  </si>
  <si>
    <t>THALITA (EST)</t>
  </si>
  <si>
    <t>LILIANE (ATE/COLE)</t>
  </si>
  <si>
    <t>MARIA E</t>
  </si>
  <si>
    <t>ANTONY EST COLETA</t>
  </si>
  <si>
    <t>INDIARA (COLETA</t>
  </si>
  <si>
    <t xml:space="preserve">KAILANE </t>
  </si>
  <si>
    <t>BEATRIZ (COLETA A)</t>
  </si>
  <si>
    <t xml:space="preserve">CRISLAINE CARNEIRO </t>
  </si>
  <si>
    <t xml:space="preserve">IACIRA MAGALHAES </t>
  </si>
  <si>
    <t xml:space="preserve">BIANCA DA SILVA </t>
  </si>
  <si>
    <t>JAILTON  C ARAUJO</t>
  </si>
  <si>
    <t xml:space="preserve">CATHARINA CRUZ </t>
  </si>
  <si>
    <t>RAFAEL COSTA</t>
  </si>
  <si>
    <t xml:space="preserve">GRAZIELE CARVALHO </t>
  </si>
  <si>
    <t xml:space="preserve">MARILIA PIO </t>
  </si>
  <si>
    <t xml:space="preserve">CATHARINNY SANCHO </t>
  </si>
  <si>
    <t>GENILSON OLIVEIRA</t>
  </si>
  <si>
    <t xml:space="preserve">LUIS HENRIQUE </t>
  </si>
  <si>
    <t xml:space="preserve">CATARINA CRUZ </t>
  </si>
  <si>
    <t>LAILLA ALMEIDA</t>
  </si>
  <si>
    <t xml:space="preserve">NATHALIA CARNEIRO </t>
  </si>
  <si>
    <t>LIVIA DE OLIVEIRA</t>
  </si>
  <si>
    <t xml:space="preserve">LAYS  RAMOS </t>
  </si>
  <si>
    <t xml:space="preserve">BENVINDA  MATIAS </t>
  </si>
  <si>
    <t xml:space="preserve">ZENON NUNES </t>
  </si>
  <si>
    <t xml:space="preserve">CISSA F </t>
  </si>
  <si>
    <t xml:space="preserve">ERISVALDO O </t>
  </si>
  <si>
    <t xml:space="preserve">MURILO C </t>
  </si>
  <si>
    <t>DANILO MADUIREIRA</t>
  </si>
  <si>
    <t xml:space="preserve">ALONSON ARAUJO </t>
  </si>
  <si>
    <t xml:space="preserve">GABRIELA CARNEIRO </t>
  </si>
  <si>
    <t xml:space="preserve"> 20k fat por colab</t>
  </si>
  <si>
    <r>
      <t xml:space="preserve">Programa de </t>
    </r>
    <r>
      <rPr>
        <b/>
        <sz val="36"/>
        <rFont val="Arial"/>
        <family val="2"/>
      </rPr>
      <t xml:space="preserve">Ação 2026
</t>
    </r>
    <r>
      <rPr>
        <i/>
        <sz val="18"/>
        <rFont val="Arial"/>
        <family val="2"/>
      </rPr>
      <t>com base no Plano Estratégico 2026</t>
    </r>
  </si>
  <si>
    <t xml:space="preserve">Acordo entre Líder e Liderado </t>
  </si>
  <si>
    <t>Área: Postos, Região do Sisal</t>
  </si>
  <si>
    <t>Rota. Indicador RH</t>
  </si>
  <si>
    <t xml:space="preserve">Líder da Equipe </t>
  </si>
  <si>
    <t>Ingrid</t>
  </si>
  <si>
    <t>CLT</t>
  </si>
  <si>
    <t>EST</t>
  </si>
  <si>
    <t>R$</t>
  </si>
  <si>
    <t xml:space="preserve">Líder direto  </t>
  </si>
  <si>
    <t>Viviane</t>
  </si>
  <si>
    <t xml:space="preserve">Substituto </t>
  </si>
  <si>
    <t>A definir</t>
  </si>
  <si>
    <t>Equipe</t>
  </si>
  <si>
    <t xml:space="preserve">Foco </t>
  </si>
  <si>
    <r>
      <rPr>
        <b/>
        <sz val="22"/>
        <color indexed="9"/>
        <rFont val="Arial"/>
        <family val="2"/>
      </rPr>
      <t xml:space="preserve">Estratégias </t>
    </r>
    <r>
      <rPr>
        <b/>
        <sz val="20"/>
        <color indexed="9"/>
        <rFont val="Arial"/>
        <family val="2"/>
      </rPr>
      <t xml:space="preserve">Delegadas e </t>
    </r>
    <r>
      <rPr>
        <b/>
        <sz val="24"/>
        <color indexed="9"/>
        <rFont val="Arial"/>
        <family val="2"/>
      </rPr>
      <t>Resultados</t>
    </r>
    <r>
      <rPr>
        <b/>
        <sz val="20"/>
        <color indexed="9"/>
        <rFont val="Arial"/>
        <family val="2"/>
      </rPr>
      <t xml:space="preserve"> Pactuados</t>
    </r>
  </si>
  <si>
    <t>Prioridade 1</t>
  </si>
  <si>
    <t>Atrair, formar e reter talentos e equipes.</t>
  </si>
  <si>
    <t>Meta</t>
  </si>
  <si>
    <t>Peso</t>
  </si>
  <si>
    <t>Prazo 
Início</t>
  </si>
  <si>
    <t>Prazo Término</t>
  </si>
  <si>
    <t>Indicador</t>
  </si>
  <si>
    <t>Aferição</t>
  </si>
  <si>
    <t>Resultado 1.1</t>
  </si>
  <si>
    <t>01.01</t>
  </si>
  <si>
    <t>31.12</t>
  </si>
  <si>
    <t>De segunda a sabado</t>
  </si>
  <si>
    <t>Resultado 1.2</t>
  </si>
  <si>
    <t xml:space="preserve">Reuniões trimestrais </t>
  </si>
  <si>
    <t xml:space="preserve">Ata das reuniões com a equipe. </t>
  </si>
  <si>
    <t>Resultado 1.3</t>
  </si>
  <si>
    <t xml:space="preserve">Qtd. Cursos Web e presenciais </t>
  </si>
  <si>
    <t xml:space="preserve">Registro. </t>
  </si>
  <si>
    <t>Resultado 1.4</t>
  </si>
  <si>
    <t>Coordenar e aplicar as Avalições de Desempenho na rota</t>
  </si>
  <si>
    <t>% dos liderados avaliados</t>
  </si>
  <si>
    <t xml:space="preserve">Avaliação de desempenho </t>
  </si>
  <si>
    <t>Prioridade 2</t>
  </si>
  <si>
    <t>Acompanhar indicadores de desempenho.</t>
  </si>
  <si>
    <t>Resultado 2.1</t>
  </si>
  <si>
    <t>Alcançar Faturamento projetado</t>
  </si>
  <si>
    <t>% de alcance do fat. Projetado</t>
  </si>
  <si>
    <t>Resultado 2.2</t>
  </si>
  <si>
    <r>
      <t xml:space="preserve">Indice de crescimento </t>
    </r>
    <r>
      <rPr>
        <b/>
        <i/>
        <sz val="12"/>
        <color theme="1"/>
        <rFont val="Arial"/>
        <family val="2"/>
      </rPr>
      <t xml:space="preserve">ao ano </t>
    </r>
    <r>
      <rPr>
        <i/>
        <sz val="12"/>
        <color theme="1"/>
        <rFont val="Arial"/>
        <family val="2"/>
      </rPr>
      <t xml:space="preserve">e com relação </t>
    </r>
    <r>
      <rPr>
        <b/>
        <i/>
        <sz val="12"/>
        <color theme="1"/>
        <rFont val="Arial"/>
        <family val="2"/>
      </rPr>
      <t>a meta</t>
    </r>
  </si>
  <si>
    <t>% de crescimento</t>
  </si>
  <si>
    <t>Resultado 2.3</t>
  </si>
  <si>
    <t xml:space="preserve">Pacientes, Exames, TK médio </t>
  </si>
  <si>
    <t>acomp</t>
  </si>
  <si>
    <t>acompanhar</t>
  </si>
  <si>
    <t>Resultado 2.4</t>
  </si>
  <si>
    <t>Medir produtividade (R$ e Qtd.) pacientes por recepcionista</t>
  </si>
  <si>
    <t>por unidade</t>
  </si>
  <si>
    <t xml:space="preserve">Gerir e converter Orçamento registrado </t>
  </si>
  <si>
    <t>% de orçamentos convertidos</t>
  </si>
  <si>
    <t>Relatorio Smart</t>
  </si>
  <si>
    <t>Indice de descontos</t>
  </si>
  <si>
    <t xml:space="preserve">media por unidade </t>
  </si>
  <si>
    <t xml:space="preserve">Indice de pacientes perdidos </t>
  </si>
  <si>
    <t>?</t>
  </si>
  <si>
    <t>Garantir o indice de novos pacientes</t>
  </si>
  <si>
    <t>Garantir o % NPS de satisfação do cliente por unidade</t>
  </si>
  <si>
    <t>% de satisfação</t>
  </si>
  <si>
    <t>Acompanhar cortesias e cobertura</t>
  </si>
  <si>
    <t>Ranking de medicos solicitantes</t>
  </si>
  <si>
    <t xml:space="preserve">Indice de faturamento por colaborador </t>
  </si>
  <si>
    <t>20k</t>
  </si>
  <si>
    <t>% de erros</t>
  </si>
  <si>
    <t>Reduzir indice de Guias em aberto, pendentes e canceladas</t>
  </si>
  <si>
    <t>Acompanhar Glosa Externa por recepcionista</t>
  </si>
  <si>
    <t>% de glosa externa</t>
  </si>
  <si>
    <t>Prioridade 3</t>
  </si>
  <si>
    <t>Resultado 3.1</t>
  </si>
  <si>
    <t>Identificar oportunidades de expanssão</t>
  </si>
  <si>
    <t>Qud. De unidades abertas</t>
  </si>
  <si>
    <t>Unidades abertas</t>
  </si>
  <si>
    <t>Reduzir custos com manutençoes de Ar condicionado, impressoras.</t>
  </si>
  <si>
    <t>Reforma das unidade (Pintura,piso,</t>
  </si>
  <si>
    <t>Prioridade 4</t>
  </si>
  <si>
    <t>Resultado 4.1</t>
  </si>
  <si>
    <t>Resultado 4.2</t>
  </si>
  <si>
    <t>Sistema de Comunicação e Informações</t>
  </si>
  <si>
    <r>
      <t>Relatórios a</t>
    </r>
    <r>
      <rPr>
        <b/>
        <sz val="20"/>
        <color indexed="9"/>
        <rFont val="Arial"/>
        <family val="2"/>
      </rPr>
      <t xml:space="preserve"> Emitir</t>
    </r>
  </si>
  <si>
    <t>Periodo</t>
  </si>
  <si>
    <t>Av.</t>
  </si>
  <si>
    <t>Destinatários</t>
  </si>
  <si>
    <t>Data de Entrega</t>
  </si>
  <si>
    <t xml:space="preserve">Rel. Mensal de avaliação da equipe </t>
  </si>
  <si>
    <t>Liderança</t>
  </si>
  <si>
    <t>Mensal e nos Acomp.</t>
  </si>
  <si>
    <t>Rel. de Visitas aos Postos</t>
  </si>
  <si>
    <t>Rel. Programar e Aplicar Avaliação de Desempenho nos colaboradores dos Postos</t>
  </si>
  <si>
    <t>Rel. de Indicadores do itens do Resultado 2.1</t>
  </si>
  <si>
    <t>Rel. Realizar as Reformas dos Postos. (Jéssica)</t>
  </si>
  <si>
    <t>Rel. Cumprimento de CH contratual por recepcionistas</t>
  </si>
  <si>
    <t>Rel. Orçamento realizado Mensal e Trimestral e Com defasagem com o n OS.</t>
  </si>
  <si>
    <r>
      <t xml:space="preserve">Relatórios a </t>
    </r>
    <r>
      <rPr>
        <b/>
        <sz val="20"/>
        <color indexed="9"/>
        <rFont val="Arial"/>
        <family val="2"/>
      </rPr>
      <t>Receber</t>
    </r>
  </si>
  <si>
    <t>Remetente</t>
  </si>
  <si>
    <t>Data de Recebimento</t>
  </si>
  <si>
    <t>1. Rel. de Erros por Recepcionista</t>
  </si>
  <si>
    <t>Mensal</t>
  </si>
  <si>
    <t>Jade</t>
  </si>
  <si>
    <t>2. Rel. de Pesquisa de Satisfação</t>
  </si>
  <si>
    <t>Veronica</t>
  </si>
  <si>
    <t>3. Rel de Controle de Horas</t>
  </si>
  <si>
    <t>Iane</t>
  </si>
  <si>
    <r>
      <rPr>
        <b/>
        <sz val="20"/>
        <color indexed="9"/>
        <rFont val="Arial"/>
        <family val="2"/>
      </rPr>
      <t>Reuniões</t>
    </r>
    <r>
      <rPr>
        <b/>
        <sz val="16"/>
        <color indexed="9"/>
        <rFont val="Arial"/>
        <family val="2"/>
      </rPr>
      <t xml:space="preserve"> Convocadas</t>
    </r>
  </si>
  <si>
    <t>Hora</t>
  </si>
  <si>
    <t>Participantes</t>
  </si>
  <si>
    <t>Gestão de Mudanças ISO9001/2015</t>
  </si>
  <si>
    <t xml:space="preserve">Na própria área </t>
  </si>
  <si>
    <t>Planejamento</t>
  </si>
  <si>
    <t>Data</t>
  </si>
  <si>
    <t xml:space="preserve">Nas demais área </t>
  </si>
  <si>
    <t>Interrelações</t>
  </si>
  <si>
    <r>
      <rPr>
        <b/>
        <sz val="20"/>
        <color indexed="9"/>
        <rFont val="Arial"/>
        <family val="2"/>
      </rPr>
      <t xml:space="preserve"> Fatores Críticos</t>
    </r>
    <r>
      <rPr>
        <b/>
        <sz val="16"/>
        <color indexed="9"/>
        <rFont val="Arial"/>
        <family val="2"/>
      </rPr>
      <t xml:space="preserve"> Identificados - </t>
    </r>
    <r>
      <rPr>
        <b/>
        <sz val="20"/>
        <color indexed="9"/>
        <rFont val="Arial"/>
        <family val="2"/>
      </rPr>
      <t>Contribuições</t>
    </r>
    <r>
      <rPr>
        <b/>
        <sz val="16"/>
        <color indexed="9"/>
        <rFont val="Arial"/>
        <family val="2"/>
      </rPr>
      <t xml:space="preserve"> de Melhoria</t>
    </r>
  </si>
  <si>
    <t xml:space="preserve"> Responsável </t>
  </si>
  <si>
    <t>Prazo para Resolução</t>
  </si>
  <si>
    <t>Demandas Pactuadas com o Líder</t>
  </si>
  <si>
    <r>
      <t xml:space="preserve">Recursos </t>
    </r>
    <r>
      <rPr>
        <b/>
        <sz val="20"/>
        <color indexed="9"/>
        <rFont val="Arial"/>
        <family val="2"/>
      </rPr>
      <t>Humanos</t>
    </r>
  </si>
  <si>
    <t>Quantidade</t>
  </si>
  <si>
    <t>Salário</t>
  </si>
  <si>
    <t>Total</t>
  </si>
  <si>
    <t>Data p/Contratação</t>
  </si>
  <si>
    <t>n/a</t>
  </si>
  <si>
    <r>
      <t xml:space="preserve">Recursos </t>
    </r>
    <r>
      <rPr>
        <b/>
        <sz val="20"/>
        <color indexed="9"/>
        <rFont val="Arial"/>
        <family val="2"/>
      </rPr>
      <t>Materiais</t>
    </r>
  </si>
  <si>
    <t>Preço</t>
  </si>
  <si>
    <t>Custo total</t>
  </si>
  <si>
    <r>
      <rPr>
        <b/>
        <sz val="20"/>
        <color indexed="9"/>
        <rFont val="Arial"/>
        <family val="2"/>
      </rPr>
      <t xml:space="preserve">Capacitações </t>
    </r>
    <r>
      <rPr>
        <b/>
        <sz val="16"/>
        <color indexed="9"/>
        <rFont val="Arial"/>
        <family val="2"/>
      </rPr>
      <t xml:space="preserve">e Qualificações </t>
    </r>
  </si>
  <si>
    <t>Data p/ realização</t>
  </si>
  <si>
    <t xml:space="preserve">Participação nos Resultados Gerados </t>
  </si>
  <si>
    <t>Premissas</t>
  </si>
  <si>
    <t>Valor base 
da Participação</t>
  </si>
  <si>
    <r>
      <rPr>
        <b/>
        <sz val="14"/>
        <color indexed="9"/>
        <rFont val="Arial"/>
        <family val="2"/>
      </rPr>
      <t>Pacto</t>
    </r>
    <r>
      <rPr>
        <b/>
        <sz val="11"/>
        <color indexed="9"/>
        <rFont val="Arial"/>
        <family val="2"/>
      </rPr>
      <t xml:space="preserve"> do Responsável pelo PA</t>
    </r>
  </si>
  <si>
    <r>
      <rPr>
        <b/>
        <sz val="14"/>
        <color indexed="9"/>
        <rFont val="Arial"/>
        <family val="2"/>
      </rPr>
      <t>Pacto</t>
    </r>
    <r>
      <rPr>
        <b/>
        <sz val="11"/>
        <color indexed="9"/>
        <rFont val="Arial"/>
        <family val="2"/>
      </rPr>
      <t xml:space="preserve"> do Líder</t>
    </r>
  </si>
  <si>
    <t>Visita a unidade</t>
  </si>
  <si>
    <t>Cronograma e Indicadores</t>
  </si>
  <si>
    <t xml:space="preserve">PA </t>
  </si>
  <si>
    <t>Resultado 1.5</t>
  </si>
  <si>
    <t>Resultado 1.6</t>
  </si>
  <si>
    <t>Resultado 1.7</t>
  </si>
  <si>
    <t>Resultado 1.8</t>
  </si>
  <si>
    <t>Resultado 1.9</t>
  </si>
  <si>
    <t>Resultado 1.10</t>
  </si>
  <si>
    <t>Resultado 1.11</t>
  </si>
  <si>
    <t>Resultado 1.12</t>
  </si>
  <si>
    <t>Resultado 1.13</t>
  </si>
  <si>
    <t>Resultado 1.14</t>
  </si>
  <si>
    <t>Resultado 1.15</t>
  </si>
  <si>
    <t>Resultado 1.16</t>
  </si>
  <si>
    <t>Realizar visitas mensais aos Postos de Coleta</t>
  </si>
  <si>
    <t>Resultado 1.17</t>
  </si>
  <si>
    <t xml:space="preserve">indice de fluxo financeiro </t>
  </si>
  <si>
    <t xml:space="preserve">Cresc pacientes </t>
  </si>
  <si>
    <t>Cresc exames</t>
  </si>
  <si>
    <t>indice Fat por colab</t>
  </si>
  <si>
    <t xml:space="preserve">PROJETADO </t>
  </si>
  <si>
    <t xml:space="preserve">% de projeção </t>
  </si>
  <si>
    <t xml:space="preserve">Indice de particular e convenios </t>
  </si>
  <si>
    <t>Ações comerciais e de marketing</t>
  </si>
  <si>
    <t>Resultado 4.3</t>
  </si>
  <si>
    <t>Indice de exames por paciente</t>
  </si>
  <si>
    <t>principais convenios</t>
  </si>
  <si>
    <t>Cresc a.a</t>
  </si>
  <si>
    <t xml:space="preserve">Bradesco </t>
  </si>
  <si>
    <r>
      <t xml:space="preserve">crescimento base </t>
    </r>
    <r>
      <rPr>
        <b/>
        <sz val="10"/>
        <rFont val="Calibri"/>
        <family val="2"/>
      </rPr>
      <t>meta 2026</t>
    </r>
  </si>
  <si>
    <r>
      <t>crescimento</t>
    </r>
    <r>
      <rPr>
        <b/>
        <sz val="10"/>
        <rFont val="Calibri"/>
        <family val="2"/>
      </rPr>
      <t xml:space="preserve"> ano anterior</t>
    </r>
  </si>
  <si>
    <t xml:space="preserve">% cresc TK medio </t>
  </si>
  <si>
    <t>Média de exames por solicitação</t>
  </si>
  <si>
    <t xml:space="preserve">% cres pacientes novos </t>
  </si>
  <si>
    <t>Re-exibir</t>
  </si>
  <si>
    <t>Santa Luz: Liliane (coleta e  atend) Quele Vitório (atend. e col.) Indiara(Coleta), Antony(Est. Coleta), Ítalo Henrique ( Estagiários atend. e col) Maria eduarda (atend e col) - estg vida ativa + suporte aos sabados de slc. 
UVL Valente: Irailma (coleta e atend), Ingredy ( estag. coleta e atend)                                                                                                                                                                                                                                                                                                                                                                                                                                                            
COI Coité: Kailane (atende e col.), Alice (coleta e atend), Beatriz (estag. atende e coleta)                                                                                                              Riachão do Jacuípe: Raiane (Atende e coleta)</t>
  </si>
  <si>
    <t>Cronograma Evolução Unidades</t>
  </si>
  <si>
    <t>Melhorar a infraestrutura, formar equipe e alcançar meta de faturamento</t>
  </si>
  <si>
    <t>Acompanhar erro Internos de fechamento de caixa por recepcionistas</t>
  </si>
  <si>
    <t>Resultado 1.18</t>
  </si>
  <si>
    <t>Realizar as Reuniões de alinhamento com a equipe de atendimento dos postos mensalmente.</t>
  </si>
  <si>
    <t xml:space="preserve">Coordenar os Ciclos de treinamentos para as equipes dos postos. </t>
  </si>
  <si>
    <t xml:space="preserve">Reduzir custos </t>
  </si>
  <si>
    <t>Reforma das unidade</t>
  </si>
  <si>
    <t xml:space="preserve">Qtd. de vezes por mês
</t>
  </si>
  <si>
    <r>
      <t>Realizar as Reuniões de alinhamento com a</t>
    </r>
    <r>
      <rPr>
        <b/>
        <sz val="12"/>
        <color indexed="8"/>
        <rFont val="Arial"/>
        <family val="2"/>
      </rPr>
      <t xml:space="preserve"> equipe </t>
    </r>
  </si>
  <si>
    <t>5 pacientes</t>
  </si>
  <si>
    <t>300 erros</t>
  </si>
  <si>
    <t>datas: 02,05,10,25</t>
  </si>
  <si>
    <t>datas:02 escreve o assunto</t>
  </si>
  <si>
    <t xml:space="preserve">não </t>
  </si>
  <si>
    <t>descrever</t>
  </si>
  <si>
    <t>Coordenar e aplicar as Avalições de Desempenho FB</t>
  </si>
  <si>
    <t xml:space="preserve">isso ou aquilo </t>
  </si>
  <si>
    <t xml:space="preserve">DR. JAILTON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</si>
</sst>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&lt;0]&quot;-R$&quot;* #,##0.00&quot; &quot;;[=0]&quot; R$&quot;* &quot;-&quot;#&quot; &quot;;&quot; R$&quot;* #,##0.00&quot; &quot;"/>
    <numFmt numFmtId="165" formatCode="#0%"/>
    <numFmt numFmtId="166" formatCode="[&lt;0]&quot;-R$ &quot;* #,##0.00&quot; &quot;;[=0]&quot; R$ &quot;* &quot;-&quot;#&quot; &quot;;&quot; R$ &quot;* #,##0.00&quot; &quot;"/>
    <numFmt numFmtId="167" formatCode="[&lt;0]&quot;-&quot;* #,##0&quot; &quot;;[=0]&quot; &quot;* &quot;-&quot;#&quot; &quot;;&quot; &quot;* #,##0&quot; &quot;"/>
    <numFmt numFmtId="168" formatCode="#0.00%"/>
    <numFmt numFmtId="169" formatCode="_-&quot;R$&quot;* #,##0.00_-;\-&quot;R$&quot;* #,##0.00_-;_-&quot;R$&quot;* &quot;-&quot;??_-;_-@_-"/>
    <numFmt numFmtId="170" formatCode="&quot;R$&quot;\ #,##0.00"/>
    <numFmt numFmtId="171" formatCode="0.0%"/>
    <numFmt numFmtId="172" formatCode="_-[$R$-416]\ * #,##0.00_-;\-[$R$-416]\ * #,##0.00_-;_-[$R$-416]\ * &quot;-&quot;??_-;_-@_-"/>
    <numFmt numFmtId="173" formatCode="[$-416]d\-mmm;@"/>
  </numFmts>
  <fonts count="10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1"/>
      <color rgb="FFFF0000"/>
      <name val="Calibri"/>
      <family val="2"/>
    </font>
    <font>
      <i/>
      <sz val="11"/>
      <name val="Calibri"/>
      <family val="2"/>
    </font>
    <font>
      <sz val="10"/>
      <name val="Arial"/>
      <family val="2"/>
    </font>
    <font>
      <b/>
      <sz val="16"/>
      <color rgb="FFFFFFFF"/>
      <name val="Calibri"/>
      <family val="2"/>
    </font>
    <font>
      <b/>
      <sz val="16"/>
      <name val="Calibri"/>
      <family val="2"/>
    </font>
    <font>
      <sz val="11"/>
      <color rgb="FFFF0000"/>
      <name val="Calibri"/>
      <family val="2"/>
    </font>
    <font>
      <b/>
      <sz val="12"/>
      <name val="Calibri"/>
      <family val="2"/>
    </font>
    <font>
      <b/>
      <sz val="14"/>
      <color rgb="FFFFFFFF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sz val="12"/>
      <name val="Calibri"/>
      <family val="2"/>
    </font>
    <font>
      <sz val="10"/>
      <color rgb="FFFF0000"/>
      <name val="Calibri"/>
      <family val="2"/>
    </font>
    <font>
      <i/>
      <sz val="11"/>
      <color rgb="FFFF0000"/>
      <name val="Calibri"/>
      <family val="2"/>
    </font>
    <font>
      <b/>
      <i/>
      <sz val="10"/>
      <name val="Calibri"/>
      <family val="2"/>
    </font>
    <font>
      <b/>
      <i/>
      <sz val="11"/>
      <name val="Calibri"/>
      <family val="2"/>
    </font>
    <font>
      <b/>
      <i/>
      <sz val="14"/>
      <name val="Calibri"/>
      <family val="2"/>
    </font>
    <font>
      <b/>
      <i/>
      <sz val="16"/>
      <name val="Calibri"/>
      <family val="2"/>
    </font>
    <font>
      <b/>
      <i/>
      <sz val="18"/>
      <name val="Calibri"/>
      <family val="2"/>
    </font>
    <font>
      <sz val="14"/>
      <color rgb="FF00B0F0"/>
      <name val="Calibri"/>
      <family val="2"/>
    </font>
    <font>
      <b/>
      <sz val="14"/>
      <color rgb="FF00B0F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4"/>
      <name val="Calibri"/>
      <family val="2"/>
    </font>
    <font>
      <b/>
      <sz val="14"/>
      <color rgb="FF4472C4"/>
      <name val="Calibri"/>
      <family val="2"/>
    </font>
    <font>
      <b/>
      <sz val="14"/>
      <color rgb="FF000000"/>
      <name val="Calibri"/>
      <family val="2"/>
    </font>
    <font>
      <b/>
      <i/>
      <sz val="12"/>
      <name val="Calibri"/>
      <family val="2"/>
    </font>
    <font>
      <i/>
      <sz val="8"/>
      <color rgb="FF4C5773"/>
      <name val="Calibri"/>
      <family val="2"/>
    </font>
    <font>
      <i/>
      <sz val="8"/>
      <color rgb="FF64696E"/>
      <name val="Calibri"/>
      <family val="2"/>
    </font>
    <font>
      <sz val="8"/>
      <color rgb="FF64696E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8"/>
      <name val="Calibri"/>
      <family val="2"/>
    </font>
    <font>
      <sz val="11"/>
      <color rgb="FFFF0000"/>
      <name val="Calibri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8"/>
      <name val="Calibri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</font>
    <font>
      <sz val="11"/>
      <color rgb="FFEE0000"/>
      <name val="Calibri"/>
      <family val="2"/>
    </font>
    <font>
      <b/>
      <sz val="10"/>
      <color theme="1"/>
      <name val="Calibri"/>
      <family val="2"/>
      <scheme val="minor"/>
    </font>
    <font>
      <sz val="8"/>
      <name val="Arial Rounded MT Bold"/>
      <family val="2"/>
    </font>
    <font>
      <sz val="8"/>
      <color rgb="FF4C5773"/>
      <name val="Calibri"/>
      <family val="2"/>
    </font>
    <font>
      <b/>
      <sz val="18"/>
      <color theme="1"/>
      <name val="Calibri"/>
      <family val="2"/>
      <scheme val="minor"/>
    </font>
    <font>
      <sz val="8"/>
      <name val="Bell MT"/>
      <family val="1"/>
    </font>
    <font>
      <sz val="11"/>
      <color theme="1"/>
      <name val="Bell MT"/>
      <family val="1"/>
    </font>
    <font>
      <sz val="8"/>
      <color theme="1"/>
      <name val="Aptos"/>
      <family val="2"/>
    </font>
    <font>
      <sz val="11"/>
      <color rgb="FF00B050"/>
      <name val="Calibri"/>
      <family val="2"/>
    </font>
    <font>
      <b/>
      <sz val="9"/>
      <color indexed="81"/>
      <name val="Segoe UI"/>
      <family val="2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Segoe UI"/>
      <family val="2"/>
    </font>
    <font>
      <sz val="11"/>
      <color rgb="FFFF0000"/>
      <name val="Calibri"/>
      <family val="2"/>
      <scheme val="minor"/>
    </font>
    <font>
      <sz val="9"/>
      <name val="Calibr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1"/>
      <color theme="0"/>
      <name val="Calibri"/>
      <family val="2"/>
      <scheme val="minor"/>
    </font>
    <font>
      <sz val="11"/>
      <name val="Arial"/>
      <family val="2"/>
    </font>
    <font>
      <b/>
      <sz val="28"/>
      <name val="Arial"/>
      <family val="2"/>
    </font>
    <font>
      <b/>
      <sz val="36"/>
      <name val="Arial"/>
      <family val="2"/>
    </font>
    <font>
      <i/>
      <sz val="18"/>
      <name val="Arial"/>
      <family val="2"/>
    </font>
    <font>
      <b/>
      <sz val="20"/>
      <color indexed="9"/>
      <name val="Arial"/>
      <family val="2"/>
    </font>
    <font>
      <b/>
      <sz val="14"/>
      <color indexed="9"/>
      <name val="Arial"/>
      <family val="2"/>
    </font>
    <font>
      <b/>
      <sz val="18"/>
      <name val="Arial"/>
      <family val="2"/>
    </font>
    <font>
      <i/>
      <sz val="14"/>
      <color theme="1"/>
      <name val="Arial"/>
      <family val="2"/>
    </font>
    <font>
      <b/>
      <sz val="12"/>
      <color indexed="9"/>
      <name val="Arial"/>
      <family val="2"/>
    </font>
    <font>
      <i/>
      <sz val="14"/>
      <name val="Arial"/>
      <family val="2"/>
    </font>
    <font>
      <sz val="14"/>
      <name val="Arial"/>
      <family val="2"/>
    </font>
    <font>
      <b/>
      <sz val="24"/>
      <color indexed="9"/>
      <name val="Arial"/>
      <family val="2"/>
    </font>
    <font>
      <sz val="20"/>
      <color indexed="8"/>
      <name val="Arial"/>
      <family val="2"/>
    </font>
    <font>
      <sz val="20"/>
      <color theme="1"/>
      <name val="Arial"/>
      <family val="2"/>
    </font>
    <font>
      <b/>
      <sz val="22"/>
      <color indexed="9"/>
      <name val="Arial"/>
      <family val="2"/>
    </font>
    <font>
      <b/>
      <sz val="16"/>
      <color theme="0"/>
      <name val="Arial"/>
      <family val="2"/>
    </font>
    <font>
      <b/>
      <sz val="12"/>
      <color theme="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2"/>
      <color indexed="8"/>
      <name val="Arial"/>
      <family val="2"/>
    </font>
    <font>
      <i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16"/>
      <color indexed="9"/>
      <name val="Arial"/>
      <family val="2"/>
    </font>
    <font>
      <sz val="12"/>
      <name val="Arial"/>
      <family val="2"/>
    </font>
    <font>
      <b/>
      <sz val="18"/>
      <color indexed="9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b/>
      <sz val="11"/>
      <color theme="0"/>
      <name val="Arial"/>
      <family val="2"/>
    </font>
    <font>
      <b/>
      <sz val="11"/>
      <color indexed="9"/>
      <name val="Arial"/>
      <family val="2"/>
    </font>
    <font>
      <sz val="11"/>
      <color rgb="FFFF0000"/>
      <name val="Arial"/>
      <family val="2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4"/>
      <name val="Calibri"/>
      <family val="2"/>
    </font>
    <font>
      <b/>
      <sz val="14"/>
      <color theme="0"/>
      <name val="Calibri"/>
      <family val="2"/>
      <scheme val="minor"/>
    </font>
    <font>
      <b/>
      <sz val="20"/>
      <color rgb="FFFFFFFF"/>
      <name val="Calibri"/>
      <family val="2"/>
    </font>
    <font>
      <sz val="14"/>
      <color rgb="FFFF0000"/>
      <name val="Calibri"/>
      <family val="2"/>
    </font>
    <font>
      <sz val="14"/>
      <color rgb="FF00B050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333399"/>
      </patternFill>
    </fill>
    <fill>
      <patternFill patternType="solid">
        <fgColor rgb="FFFFFF00"/>
      </patternFill>
    </fill>
    <fill>
      <patternFill patternType="solid">
        <fgColor rgb="FFFFCC99"/>
      </patternFill>
    </fill>
    <fill>
      <patternFill patternType="solid">
        <fgColor rgb="FFFFFFFF"/>
      </patternFill>
    </fill>
    <fill>
      <patternFill patternType="solid">
        <fgColor rgb="FF00FF00"/>
      </patternFill>
    </fill>
    <fill>
      <patternFill patternType="solid">
        <fgColor rgb="FF008000"/>
      </patternFill>
    </fill>
    <fill>
      <patternFill patternType="solid">
        <fgColor rgb="FFFF0000"/>
      </patternFill>
    </fill>
    <fill>
      <patternFill patternType="solid">
        <fgColor rgb="FF969696"/>
      </patternFill>
    </fill>
    <fill>
      <patternFill patternType="solid">
        <fgColor rgb="FF00CCFF"/>
      </patternFill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rgb="FFFF0000"/>
      </patternFill>
    </fill>
    <fill>
      <patternFill patternType="solid">
        <fgColor rgb="FF499DF2"/>
      </patternFill>
    </fill>
    <fill>
      <patternFill patternType="solid">
        <fgColor rgb="FF6399F7"/>
      </patternFill>
    </fill>
    <fill>
      <patternFill patternType="solid">
        <fgColor rgb="FF4DBF73"/>
      </patternFill>
    </fill>
    <fill>
      <patternFill patternType="solid">
        <fgColor rgb="FFFFF001"/>
      </patternFill>
    </fill>
    <fill>
      <patternFill patternType="solid">
        <fgColor rgb="FFFFFFFF"/>
      </patternFill>
    </fill>
    <fill>
      <patternFill patternType="solid">
        <fgColor rgb="FFFFD966"/>
      </patternFill>
    </fill>
    <fill>
      <patternFill patternType="solid">
        <fgColor rgb="FFFFE599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47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EEECE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4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44" fontId="43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11" fillId="0" borderId="0"/>
  </cellStyleXfs>
  <cellXfs count="695">
    <xf numFmtId="0" fontId="0" fillId="0" borderId="0" xfId="0"/>
    <xf numFmtId="0" fontId="2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164" fontId="4" fillId="0" borderId="0" xfId="0" applyNumberFormat="1" applyFont="1"/>
    <xf numFmtId="0" fontId="5" fillId="0" borderId="0" xfId="0" applyFont="1"/>
    <xf numFmtId="164" fontId="6" fillId="0" borderId="0" xfId="0" applyNumberFormat="1" applyFont="1"/>
    <xf numFmtId="164" fontId="5" fillId="0" borderId="0" xfId="0" applyNumberFormat="1" applyFont="1"/>
    <xf numFmtId="0" fontId="0" fillId="5" borderId="0" xfId="0" applyFill="1"/>
    <xf numFmtId="164" fontId="0" fillId="0" borderId="0" xfId="0" applyNumberFormat="1"/>
    <xf numFmtId="0" fontId="0" fillId="2" borderId="0" xfId="0" applyFill="1"/>
    <xf numFmtId="0" fontId="7" fillId="0" borderId="0" xfId="0" applyFont="1"/>
    <xf numFmtId="164" fontId="7" fillId="0" borderId="0" xfId="0" applyNumberFormat="1" applyFont="1"/>
    <xf numFmtId="164" fontId="5" fillId="6" borderId="0" xfId="0" applyNumberFormat="1" applyFont="1" applyFill="1"/>
    <xf numFmtId="0" fontId="8" fillId="0" borderId="0" xfId="0" applyFont="1" applyAlignment="1">
      <alignment horizontal="right" vertical="top"/>
    </xf>
    <xf numFmtId="165" fontId="9" fillId="0" borderId="0" xfId="0" applyNumberFormat="1" applyFont="1" applyAlignment="1">
      <alignment horizontal="center" vertical="top"/>
    </xf>
    <xf numFmtId="165" fontId="4" fillId="0" borderId="0" xfId="0" applyNumberFormat="1" applyFont="1" applyAlignment="1">
      <alignment horizontal="center" vertical="top"/>
    </xf>
    <xf numFmtId="0" fontId="4" fillId="0" borderId="0" xfId="0" applyFont="1"/>
    <xf numFmtId="164" fontId="4" fillId="0" borderId="0" xfId="0" applyNumberFormat="1" applyFont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0" fillId="0" borderId="0" xfId="0" applyAlignment="1">
      <alignment horizontal="right" vertical="top"/>
    </xf>
    <xf numFmtId="0" fontId="0" fillId="7" borderId="0" xfId="0" applyFill="1" applyAlignment="1">
      <alignment horizontal="right" vertical="top"/>
    </xf>
    <xf numFmtId="0" fontId="0" fillId="6" borderId="0" xfId="0" applyFill="1"/>
    <xf numFmtId="0" fontId="10" fillId="0" borderId="0" xfId="0" applyFont="1" applyAlignment="1">
      <alignment horizontal="right" vertical="top"/>
    </xf>
    <xf numFmtId="165" fontId="0" fillId="0" borderId="0" xfId="0" applyNumberFormat="1"/>
    <xf numFmtId="0" fontId="0" fillId="0" borderId="0" xfId="0" applyAlignment="1">
      <alignment vertical="center"/>
    </xf>
    <xf numFmtId="0" fontId="1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165" fontId="4" fillId="6" borderId="0" xfId="0" applyNumberFormat="1" applyFont="1" applyFill="1" applyAlignment="1">
      <alignment horizontal="center" vertical="top"/>
    </xf>
    <xf numFmtId="164" fontId="7" fillId="8" borderId="0" xfId="0" applyNumberFormat="1" applyFont="1" applyFill="1"/>
    <xf numFmtId="164" fontId="4" fillId="6" borderId="0" xfId="0" applyNumberFormat="1" applyFont="1" applyFill="1"/>
    <xf numFmtId="164" fontId="7" fillId="11" borderId="0" xfId="0" applyNumberFormat="1" applyFont="1" applyFill="1"/>
    <xf numFmtId="164" fontId="5" fillId="11" borderId="0" xfId="0" applyNumberFormat="1" applyFont="1" applyFill="1"/>
    <xf numFmtId="0" fontId="0" fillId="0" borderId="0" xfId="0" applyAlignment="1">
      <alignment horizontal="center" vertical="top"/>
    </xf>
    <xf numFmtId="0" fontId="15" fillId="0" borderId="0" xfId="0" applyFont="1"/>
    <xf numFmtId="166" fontId="7" fillId="0" borderId="0" xfId="0" applyNumberFormat="1" applyFont="1"/>
    <xf numFmtId="164" fontId="5" fillId="10" borderId="0" xfId="0" applyNumberFormat="1" applyFont="1" applyFill="1"/>
    <xf numFmtId="0" fontId="16" fillId="2" borderId="0" xfId="0" applyFont="1" applyFill="1" applyAlignment="1">
      <alignment horizontal="center" vertical="top"/>
    </xf>
    <xf numFmtId="164" fontId="7" fillId="6" borderId="0" xfId="0" applyNumberFormat="1" applyFont="1" applyFill="1"/>
    <xf numFmtId="0" fontId="2" fillId="6" borderId="0" xfId="0" applyFont="1" applyFill="1" applyAlignment="1">
      <alignment horizontal="center" vertical="top"/>
    </xf>
    <xf numFmtId="0" fontId="3" fillId="6" borderId="0" xfId="0" applyFont="1" applyFill="1" applyAlignment="1">
      <alignment horizontal="center" vertical="top"/>
    </xf>
    <xf numFmtId="0" fontId="0" fillId="6" borderId="0" xfId="0" applyFill="1" applyAlignment="1">
      <alignment horizontal="center" vertical="top"/>
    </xf>
    <xf numFmtId="0" fontId="8" fillId="5" borderId="0" xfId="0" applyFont="1" applyFill="1"/>
    <xf numFmtId="164" fontId="8" fillId="0" borderId="0" xfId="0" applyNumberFormat="1" applyFont="1"/>
    <xf numFmtId="0" fontId="8" fillId="2" borderId="0" xfId="0" applyFont="1" applyFill="1"/>
    <xf numFmtId="164" fontId="17" fillId="0" borderId="0" xfId="0" applyNumberFormat="1" applyFont="1"/>
    <xf numFmtId="164" fontId="15" fillId="0" borderId="0" xfId="0" applyNumberFormat="1" applyFont="1"/>
    <xf numFmtId="164" fontId="5" fillId="8" borderId="0" xfId="0" applyNumberFormat="1" applyFont="1" applyFill="1"/>
    <xf numFmtId="164" fontId="5" fillId="4" borderId="0" xfId="0" applyNumberFormat="1" applyFont="1" applyFill="1"/>
    <xf numFmtId="0" fontId="8" fillId="0" borderId="0" xfId="0" applyFont="1"/>
    <xf numFmtId="167" fontId="4" fillId="0" borderId="0" xfId="0" applyNumberFormat="1" applyFont="1"/>
    <xf numFmtId="0" fontId="10" fillId="0" borderId="0" xfId="0" applyFont="1" applyAlignment="1">
      <alignment horizontal="center" vertical="top"/>
    </xf>
    <xf numFmtId="165" fontId="10" fillId="0" borderId="0" xfId="0" applyNumberFormat="1" applyFont="1" applyAlignment="1">
      <alignment horizontal="center" vertical="top"/>
    </xf>
    <xf numFmtId="0" fontId="3" fillId="6" borderId="0" xfId="0" applyFont="1" applyFill="1" applyAlignment="1">
      <alignment vertical="top" wrapText="1"/>
    </xf>
    <xf numFmtId="164" fontId="17" fillId="6" borderId="0" xfId="0" applyNumberFormat="1" applyFont="1" applyFill="1"/>
    <xf numFmtId="0" fontId="18" fillId="0" borderId="0" xfId="0" applyFont="1" applyAlignment="1">
      <alignment horizontal="left" vertical="top"/>
    </xf>
    <xf numFmtId="164" fontId="8" fillId="6" borderId="0" xfId="0" applyNumberFormat="1" applyFont="1" applyFill="1"/>
    <xf numFmtId="0" fontId="15" fillId="4" borderId="0" xfId="0" applyFont="1" applyFill="1"/>
    <xf numFmtId="164" fontId="17" fillId="4" borderId="0" xfId="0" applyNumberFormat="1" applyFont="1" applyFill="1"/>
    <xf numFmtId="164" fontId="17" fillId="9" borderId="0" xfId="0" applyNumberFormat="1" applyFont="1" applyFill="1"/>
    <xf numFmtId="164" fontId="17" fillId="8" borderId="0" xfId="0" applyNumberFormat="1" applyFont="1" applyFill="1"/>
    <xf numFmtId="164" fontId="4" fillId="6" borderId="0" xfId="0" applyNumberFormat="1" applyFont="1" applyFill="1" applyAlignment="1">
      <alignment horizontal="center" vertical="top"/>
    </xf>
    <xf numFmtId="164" fontId="17" fillId="11" borderId="0" xfId="0" applyNumberFormat="1" applyFont="1" applyFill="1"/>
    <xf numFmtId="164" fontId="15" fillId="11" borderId="0" xfId="0" applyNumberFormat="1" applyFont="1" applyFill="1"/>
    <xf numFmtId="164" fontId="13" fillId="6" borderId="0" xfId="0" applyNumberFormat="1" applyFont="1" applyFill="1" applyAlignment="1">
      <alignment horizontal="center" vertical="top"/>
    </xf>
    <xf numFmtId="168" fontId="7" fillId="0" borderId="0" xfId="0" applyNumberFormat="1" applyFont="1"/>
    <xf numFmtId="164" fontId="7" fillId="12" borderId="0" xfId="0" applyNumberFormat="1" applyFont="1" applyFill="1"/>
    <xf numFmtId="164" fontId="15" fillId="14" borderId="0" xfId="0" applyNumberFormat="1" applyFont="1" applyFill="1"/>
    <xf numFmtId="164" fontId="15" fillId="12" borderId="0" xfId="0" applyNumberFormat="1" applyFont="1" applyFill="1"/>
    <xf numFmtId="164" fontId="5" fillId="14" borderId="0" xfId="0" applyNumberFormat="1" applyFont="1" applyFill="1"/>
    <xf numFmtId="164" fontId="5" fillId="12" borderId="0" xfId="0" applyNumberFormat="1" applyFont="1" applyFill="1"/>
    <xf numFmtId="164" fontId="15" fillId="13" borderId="0" xfId="0" applyNumberFormat="1" applyFont="1" applyFill="1"/>
    <xf numFmtId="164" fontId="5" fillId="6" borderId="0" xfId="0" applyNumberFormat="1" applyFont="1" applyFill="1" applyAlignment="1">
      <alignment horizontal="center" vertical="top"/>
    </xf>
    <xf numFmtId="169" fontId="7" fillId="6" borderId="0" xfId="0" applyNumberFormat="1" applyFont="1" applyFill="1" applyAlignment="1">
      <alignment horizontal="center" vertical="top"/>
    </xf>
    <xf numFmtId="164" fontId="14" fillId="0" borderId="0" xfId="0" applyNumberFormat="1" applyFont="1"/>
    <xf numFmtId="164" fontId="17" fillId="12" borderId="0" xfId="0" applyNumberFormat="1" applyFont="1" applyFill="1"/>
    <xf numFmtId="9" fontId="0" fillId="0" borderId="0" xfId="0" applyNumberFormat="1"/>
    <xf numFmtId="43" fontId="0" fillId="0" borderId="0" xfId="0" applyNumberFormat="1"/>
    <xf numFmtId="3" fontId="0" fillId="0" borderId="0" xfId="0" applyNumberFormat="1"/>
    <xf numFmtId="0" fontId="20" fillId="0" borderId="0" xfId="0" applyFont="1" applyAlignment="1">
      <alignment horizontal="right" vertical="top"/>
    </xf>
    <xf numFmtId="0" fontId="14" fillId="0" borderId="0" xfId="0" applyFont="1"/>
    <xf numFmtId="164" fontId="14" fillId="0" borderId="0" xfId="0" applyNumberFormat="1" applyFont="1" applyAlignment="1">
      <alignment horizontal="center" vertical="top"/>
    </xf>
    <xf numFmtId="9" fontId="4" fillId="0" borderId="0" xfId="0" applyNumberFormat="1" applyFont="1" applyAlignment="1">
      <alignment horizontal="center" vertical="top"/>
    </xf>
    <xf numFmtId="165" fontId="0" fillId="14" borderId="0" xfId="0" applyNumberFormat="1" applyFill="1"/>
    <xf numFmtId="9" fontId="0" fillId="14" borderId="0" xfId="0" applyNumberFormat="1" applyFill="1"/>
    <xf numFmtId="165" fontId="0" fillId="13" borderId="0" xfId="0" applyNumberFormat="1" applyFill="1"/>
    <xf numFmtId="0" fontId="7" fillId="2" borderId="0" xfId="0" applyFont="1" applyFill="1"/>
    <xf numFmtId="164" fontId="15" fillId="15" borderId="0" xfId="0" applyNumberFormat="1" applyFont="1" applyFill="1"/>
    <xf numFmtId="164" fontId="19" fillId="0" borderId="0" xfId="0" applyNumberFormat="1" applyFont="1"/>
    <xf numFmtId="170" fontId="0" fillId="0" borderId="0" xfId="0" applyNumberFormat="1" applyAlignment="1">
      <alignment horizontal="left"/>
    </xf>
    <xf numFmtId="164" fontId="4" fillId="0" borderId="0" xfId="0" applyNumberFormat="1" applyFont="1" applyAlignment="1">
      <alignment horizontal="left" vertical="top"/>
    </xf>
    <xf numFmtId="164" fontId="14" fillId="0" borderId="0" xfId="0" applyNumberFormat="1" applyFont="1" applyAlignment="1">
      <alignment horizontal="left" vertical="top"/>
    </xf>
    <xf numFmtId="170" fontId="0" fillId="0" borderId="0" xfId="0" applyNumberFormat="1" applyAlignment="1">
      <alignment horizontal="right"/>
    </xf>
    <xf numFmtId="164" fontId="4" fillId="0" borderId="0" xfId="0" applyNumberFormat="1" applyFont="1" applyAlignment="1">
      <alignment horizontal="right" vertical="top"/>
    </xf>
    <xf numFmtId="9" fontId="0" fillId="0" borderId="0" xfId="0" applyNumberFormat="1" applyAlignment="1">
      <alignment vertical="top"/>
    </xf>
    <xf numFmtId="9" fontId="0" fillId="0" borderId="0" xfId="0" applyNumberFormat="1" applyAlignment="1">
      <alignment horizontal="center" vertical="top"/>
    </xf>
    <xf numFmtId="164" fontId="17" fillId="15" borderId="0" xfId="0" applyNumberFormat="1" applyFont="1" applyFill="1"/>
    <xf numFmtId="164" fontId="5" fillId="13" borderId="0" xfId="0" applyNumberFormat="1" applyFont="1" applyFill="1" applyAlignment="1">
      <alignment horizontal="center" vertical="top"/>
    </xf>
    <xf numFmtId="43" fontId="7" fillId="0" borderId="0" xfId="0" applyNumberFormat="1" applyFont="1"/>
    <xf numFmtId="1" fontId="7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right" vertical="top"/>
    </xf>
    <xf numFmtId="9" fontId="4" fillId="13" borderId="0" xfId="0" applyNumberFormat="1" applyFont="1" applyFill="1" applyAlignment="1">
      <alignment horizontal="center" vertical="top"/>
    </xf>
    <xf numFmtId="10" fontId="4" fillId="0" borderId="0" xfId="0" applyNumberFormat="1" applyFont="1" applyAlignment="1">
      <alignment horizontal="center" vertical="top"/>
    </xf>
    <xf numFmtId="171" fontId="4" fillId="0" borderId="0" xfId="0" applyNumberFormat="1" applyFont="1" applyAlignment="1">
      <alignment horizontal="center" vertical="top"/>
    </xf>
    <xf numFmtId="10" fontId="0" fillId="0" borderId="0" xfId="0" applyNumberFormat="1" applyAlignment="1">
      <alignment horizontal="center" vertical="top"/>
    </xf>
    <xf numFmtId="165" fontId="7" fillId="15" borderId="0" xfId="0" applyNumberFormat="1" applyFont="1" applyFill="1" applyAlignment="1">
      <alignment horizontal="center" vertical="top"/>
    </xf>
    <xf numFmtId="164" fontId="5" fillId="15" borderId="0" xfId="0" applyNumberFormat="1" applyFont="1" applyFill="1"/>
    <xf numFmtId="1" fontId="0" fillId="0" borderId="0" xfId="0" applyNumberForma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69" fontId="7" fillId="0" borderId="0" xfId="0" applyNumberFormat="1" applyFont="1" applyAlignment="1">
      <alignment vertical="top"/>
    </xf>
    <xf numFmtId="165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center" vertical="top"/>
    </xf>
    <xf numFmtId="9" fontId="4" fillId="15" borderId="0" xfId="0" applyNumberFormat="1" applyFont="1" applyFill="1" applyAlignment="1">
      <alignment horizontal="center" vertical="top"/>
    </xf>
    <xf numFmtId="9" fontId="21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2" fontId="7" fillId="0" borderId="0" xfId="0" applyNumberFormat="1" applyFont="1"/>
    <xf numFmtId="164" fontId="7" fillId="14" borderId="0" xfId="0" applyNumberFormat="1" applyFont="1" applyFill="1"/>
    <xf numFmtId="9" fontId="14" fillId="0" borderId="0" xfId="0" applyNumberFormat="1" applyFont="1" applyAlignment="1">
      <alignment horizontal="center" vertical="top"/>
    </xf>
    <xf numFmtId="14" fontId="4" fillId="0" borderId="0" xfId="0" applyNumberFormat="1" applyFont="1" applyAlignment="1">
      <alignment horizontal="center" vertical="top"/>
    </xf>
    <xf numFmtId="14" fontId="0" fillId="0" borderId="0" xfId="0" applyNumberFormat="1"/>
    <xf numFmtId="169" fontId="0" fillId="0" borderId="0" xfId="0" applyNumberFormat="1" applyAlignment="1">
      <alignment vertical="top"/>
    </xf>
    <xf numFmtId="169" fontId="8" fillId="0" borderId="0" xfId="0" applyNumberFormat="1" applyFont="1" applyAlignment="1">
      <alignment horizontal="right" vertical="top"/>
    </xf>
    <xf numFmtId="169" fontId="4" fillId="0" borderId="0" xfId="0" applyNumberFormat="1" applyFont="1" applyAlignment="1">
      <alignment horizontal="center" vertical="top"/>
    </xf>
    <xf numFmtId="14" fontId="17" fillId="0" borderId="0" xfId="0" applyNumberFormat="1" applyFont="1" applyAlignment="1">
      <alignment horizontal="right" vertical="top"/>
    </xf>
    <xf numFmtId="14" fontId="0" fillId="6" borderId="0" xfId="0" applyNumberFormat="1" applyFill="1"/>
    <xf numFmtId="169" fontId="0" fillId="6" borderId="0" xfId="0" applyNumberFormat="1" applyFill="1" applyAlignment="1">
      <alignment vertical="top"/>
    </xf>
    <xf numFmtId="169" fontId="14" fillId="0" borderId="0" xfId="0" applyNumberFormat="1" applyFont="1" applyAlignment="1">
      <alignment vertical="top"/>
    </xf>
    <xf numFmtId="169" fontId="14" fillId="0" borderId="0" xfId="0" applyNumberFormat="1" applyFont="1" applyAlignment="1">
      <alignment horizontal="center" vertical="top"/>
    </xf>
    <xf numFmtId="169" fontId="20" fillId="0" borderId="0" xfId="0" applyNumberFormat="1" applyFont="1" applyAlignment="1">
      <alignment horizontal="right" vertical="top"/>
    </xf>
    <xf numFmtId="0" fontId="22" fillId="0" borderId="0" xfId="0" applyFont="1" applyAlignment="1">
      <alignment horizontal="right" vertical="top"/>
    </xf>
    <xf numFmtId="169" fontId="23" fillId="0" borderId="0" xfId="0" applyNumberFormat="1" applyFont="1" applyAlignment="1">
      <alignment horizontal="center" vertical="top"/>
    </xf>
    <xf numFmtId="9" fontId="23" fillId="0" borderId="0" xfId="0" applyNumberFormat="1" applyFont="1" applyAlignment="1">
      <alignment horizontal="center" vertical="top"/>
    </xf>
    <xf numFmtId="0" fontId="23" fillId="0" borderId="0" xfId="0" applyFont="1"/>
    <xf numFmtId="164" fontId="23" fillId="0" borderId="0" xfId="0" applyNumberFormat="1" applyFont="1"/>
    <xf numFmtId="169" fontId="24" fillId="0" borderId="0" xfId="0" applyNumberFormat="1" applyFont="1" applyAlignment="1">
      <alignment horizontal="center" vertical="top"/>
    </xf>
    <xf numFmtId="169" fontId="25" fillId="0" borderId="0" xfId="0" applyNumberFormat="1" applyFont="1" applyAlignment="1">
      <alignment horizontal="center" vertical="top"/>
    </xf>
    <xf numFmtId="169" fontId="26" fillId="0" borderId="0" xfId="0" applyNumberFormat="1" applyFont="1" applyAlignment="1">
      <alignment horizontal="center" vertical="top"/>
    </xf>
    <xf numFmtId="164" fontId="27" fillId="0" borderId="0" xfId="0" applyNumberFormat="1" applyFont="1" applyAlignment="1">
      <alignment horizontal="center" vertical="top"/>
    </xf>
    <xf numFmtId="164" fontId="28" fillId="0" borderId="0" xfId="0" applyNumberFormat="1" applyFont="1"/>
    <xf numFmtId="14" fontId="4" fillId="13" borderId="0" xfId="0" applyNumberFormat="1" applyFont="1" applyFill="1" applyAlignment="1">
      <alignment horizontal="center" vertical="top"/>
    </xf>
    <xf numFmtId="169" fontId="4" fillId="13" borderId="0" xfId="0" applyNumberFormat="1" applyFont="1" applyFill="1" applyAlignment="1">
      <alignment horizontal="center" vertical="top"/>
    </xf>
    <xf numFmtId="1" fontId="7" fillId="0" borderId="0" xfId="0" applyNumberFormat="1" applyFont="1"/>
    <xf numFmtId="0" fontId="0" fillId="13" borderId="0" xfId="0" applyFill="1"/>
    <xf numFmtId="14" fontId="30" fillId="13" borderId="0" xfId="0" applyNumberFormat="1" applyFont="1" applyFill="1" applyAlignment="1">
      <alignment horizontal="center" vertical="top"/>
    </xf>
    <xf numFmtId="169" fontId="29" fillId="13" borderId="0" xfId="0" applyNumberFormat="1" applyFont="1" applyFill="1" applyAlignment="1">
      <alignment horizontal="center" vertical="top"/>
    </xf>
    <xf numFmtId="164" fontId="29" fillId="13" borderId="0" xfId="0" applyNumberFormat="1" applyFont="1" applyFill="1" applyAlignment="1">
      <alignment horizontal="center" vertical="top"/>
    </xf>
    <xf numFmtId="9" fontId="10" fillId="0" borderId="0" xfId="0" applyNumberFormat="1" applyFont="1" applyAlignment="1">
      <alignment horizontal="center" vertical="top"/>
    </xf>
    <xf numFmtId="0" fontId="21" fillId="0" borderId="0" xfId="0" applyFont="1" applyAlignment="1">
      <alignment horizontal="right" vertical="top"/>
    </xf>
    <xf numFmtId="165" fontId="14" fillId="0" borderId="0" xfId="0" applyNumberFormat="1" applyFont="1"/>
    <xf numFmtId="165" fontId="14" fillId="13" borderId="0" xfId="0" applyNumberFormat="1" applyFont="1" applyFill="1"/>
    <xf numFmtId="9" fontId="4" fillId="0" borderId="0" xfId="0" applyNumberFormat="1" applyFont="1" applyAlignment="1">
      <alignment vertical="top"/>
    </xf>
    <xf numFmtId="0" fontId="0" fillId="5" borderId="0" xfId="0" applyFill="1" applyAlignment="1">
      <alignment horizontal="right" vertical="top"/>
    </xf>
    <xf numFmtId="0" fontId="7" fillId="2" borderId="0" xfId="0" applyFont="1" applyFill="1" applyAlignment="1">
      <alignment horizontal="right" vertical="top"/>
    </xf>
    <xf numFmtId="0" fontId="31" fillId="0" borderId="0" xfId="0" applyFont="1" applyAlignment="1">
      <alignment horizontal="right" vertical="top"/>
    </xf>
    <xf numFmtId="164" fontId="32" fillId="0" borderId="0" xfId="0" applyNumberFormat="1" applyFont="1"/>
    <xf numFmtId="0" fontId="0" fillId="14" borderId="0" xfId="0" applyFill="1"/>
    <xf numFmtId="0" fontId="10" fillId="14" borderId="0" xfId="0" applyFont="1" applyFill="1" applyAlignment="1">
      <alignment horizontal="center" vertical="top"/>
    </xf>
    <xf numFmtId="14" fontId="30" fillId="0" borderId="0" xfId="0" applyNumberFormat="1" applyFont="1" applyAlignment="1">
      <alignment horizontal="center" vertical="top"/>
    </xf>
    <xf numFmtId="169" fontId="29" fillId="0" borderId="0" xfId="0" applyNumberFormat="1" applyFont="1" applyAlignment="1">
      <alignment horizontal="center" vertical="top"/>
    </xf>
    <xf numFmtId="0" fontId="0" fillId="2" borderId="0" xfId="0" applyFill="1" applyAlignment="1">
      <alignment horizontal="right" vertical="top"/>
    </xf>
    <xf numFmtId="0" fontId="7" fillId="0" borderId="0" xfId="0" applyFont="1" applyAlignment="1">
      <alignment horizontal="right" vertical="top"/>
    </xf>
    <xf numFmtId="164" fontId="29" fillId="0" borderId="0" xfId="0" applyNumberFormat="1" applyFont="1" applyAlignment="1">
      <alignment horizontal="center" vertical="top"/>
    </xf>
    <xf numFmtId="0" fontId="15" fillId="0" borderId="0" xfId="0" applyFont="1" applyAlignment="1">
      <alignment horizontal="right" vertical="top"/>
    </xf>
    <xf numFmtId="0" fontId="8" fillId="5" borderId="0" xfId="0" applyFont="1" applyFill="1" applyAlignment="1">
      <alignment horizontal="right" vertical="top"/>
    </xf>
    <xf numFmtId="0" fontId="8" fillId="2" borderId="0" xfId="0" applyFont="1" applyFill="1" applyAlignment="1">
      <alignment horizontal="right" vertical="top"/>
    </xf>
    <xf numFmtId="0" fontId="2" fillId="0" borderId="0" xfId="0" applyFont="1" applyAlignment="1">
      <alignment horizontal="center" vertical="top"/>
    </xf>
    <xf numFmtId="9" fontId="0" fillId="13" borderId="0" xfId="0" applyNumberFormat="1" applyFill="1" applyAlignment="1">
      <alignment horizontal="center" vertical="top"/>
    </xf>
    <xf numFmtId="9" fontId="14" fillId="0" borderId="0" xfId="0" applyNumberFormat="1" applyFont="1" applyAlignment="1">
      <alignment vertical="top"/>
    </xf>
    <xf numFmtId="0" fontId="0" fillId="14" borderId="0" xfId="0" applyFill="1" applyAlignment="1">
      <alignment vertical="top"/>
    </xf>
    <xf numFmtId="0" fontId="0" fillId="0" borderId="0" xfId="0" applyAlignment="1">
      <alignment vertical="top"/>
    </xf>
    <xf numFmtId="0" fontId="4" fillId="14" borderId="0" xfId="0" applyFont="1" applyFill="1"/>
    <xf numFmtId="164" fontId="7" fillId="17" borderId="0" xfId="0" applyNumberFormat="1" applyFont="1" applyFill="1"/>
    <xf numFmtId="164" fontId="15" fillId="16" borderId="0" xfId="0" applyNumberFormat="1" applyFont="1" applyFill="1"/>
    <xf numFmtId="165" fontId="7" fillId="19" borderId="0" xfId="0" applyNumberFormat="1" applyFont="1" applyFill="1" applyAlignment="1">
      <alignment horizontal="center" vertical="top"/>
    </xf>
    <xf numFmtId="0" fontId="0" fillId="19" borderId="0" xfId="0" applyFill="1"/>
    <xf numFmtId="14" fontId="30" fillId="20" borderId="0" xfId="0" applyNumberFormat="1" applyFont="1" applyFill="1" applyAlignment="1">
      <alignment horizontal="center" vertical="top"/>
    </xf>
    <xf numFmtId="169" fontId="29" fillId="20" borderId="0" xfId="0" applyNumberFormat="1" applyFont="1" applyFill="1" applyAlignment="1">
      <alignment horizontal="center" vertical="top"/>
    </xf>
    <xf numFmtId="164" fontId="29" fillId="20" borderId="0" xfId="0" applyNumberFormat="1" applyFont="1" applyFill="1" applyAlignment="1">
      <alignment horizontal="center" vertical="top"/>
    </xf>
    <xf numFmtId="9" fontId="4" fillId="20" borderId="0" xfId="0" applyNumberFormat="1" applyFont="1" applyFill="1" applyAlignment="1">
      <alignment horizontal="center" vertical="top"/>
    </xf>
    <xf numFmtId="165" fontId="0" fillId="19" borderId="0" xfId="0" applyNumberFormat="1" applyFill="1" applyAlignment="1">
      <alignment horizontal="center" vertical="top"/>
    </xf>
    <xf numFmtId="0" fontId="10" fillId="20" borderId="0" xfId="0" applyFont="1" applyFill="1" applyAlignment="1">
      <alignment horizontal="right" vertical="top"/>
    </xf>
    <xf numFmtId="0" fontId="0" fillId="20" borderId="0" xfId="0" applyFill="1"/>
    <xf numFmtId="164" fontId="1" fillId="0" borderId="0" xfId="0" applyNumberFormat="1" applyFont="1"/>
    <xf numFmtId="164" fontId="1" fillId="0" borderId="0" xfId="0" applyNumberFormat="1" applyFont="1" applyAlignment="1">
      <alignment horizontal="center" vertical="top"/>
    </xf>
    <xf numFmtId="169" fontId="34" fillId="0" borderId="0" xfId="0" applyNumberFormat="1" applyFont="1" applyAlignment="1">
      <alignment horizontal="center" vertical="top"/>
    </xf>
    <xf numFmtId="1" fontId="0" fillId="0" borderId="0" xfId="0" applyNumberFormat="1" applyAlignment="1">
      <alignment horizontal="center" vertical="center"/>
    </xf>
    <xf numFmtId="0" fontId="35" fillId="6" borderId="0" xfId="0" applyFont="1" applyFill="1" applyAlignment="1">
      <alignment horizontal="left"/>
    </xf>
    <xf numFmtId="0" fontId="36" fillId="0" borderId="0" xfId="0" applyFont="1"/>
    <xf numFmtId="0" fontId="35" fillId="0" borderId="7" xfId="0" applyFont="1" applyBorder="1" applyAlignment="1">
      <alignment vertical="center"/>
    </xf>
    <xf numFmtId="9" fontId="1" fillId="0" borderId="0" xfId="0" applyNumberFormat="1" applyFont="1" applyAlignment="1">
      <alignment horizontal="center" vertical="top"/>
    </xf>
    <xf numFmtId="10" fontId="1" fillId="0" borderId="0" xfId="0" applyNumberFormat="1" applyFont="1" applyAlignment="1">
      <alignment horizontal="center" vertical="top"/>
    </xf>
    <xf numFmtId="0" fontId="38" fillId="0" borderId="0" xfId="0" applyFont="1"/>
    <xf numFmtId="0" fontId="40" fillId="0" borderId="0" xfId="0" applyFont="1"/>
    <xf numFmtId="0" fontId="40" fillId="0" borderId="0" xfId="0" applyFont="1" applyAlignment="1">
      <alignment horizontal="center" vertical="top"/>
    </xf>
    <xf numFmtId="0" fontId="40" fillId="20" borderId="0" xfId="0" applyFont="1" applyFill="1"/>
    <xf numFmtId="164" fontId="39" fillId="0" borderId="0" xfId="0" applyNumberFormat="1" applyFont="1"/>
    <xf numFmtId="164" fontId="33" fillId="21" borderId="0" xfId="0" applyNumberFormat="1" applyFont="1" applyFill="1"/>
    <xf numFmtId="164" fontId="5" fillId="16" borderId="0" xfId="0" applyNumberFormat="1" applyFont="1" applyFill="1"/>
    <xf numFmtId="0" fontId="10" fillId="22" borderId="0" xfId="0" applyFont="1" applyFill="1" applyAlignment="1">
      <alignment horizontal="right" vertical="top"/>
    </xf>
    <xf numFmtId="165" fontId="7" fillId="22" borderId="0" xfId="0" applyNumberFormat="1" applyFont="1" applyFill="1" applyAlignment="1">
      <alignment horizontal="center" vertical="top"/>
    </xf>
    <xf numFmtId="165" fontId="0" fillId="22" borderId="0" xfId="0" applyNumberFormat="1" applyFill="1"/>
    <xf numFmtId="0" fontId="0" fillId="22" borderId="0" xfId="0" applyFill="1"/>
    <xf numFmtId="164" fontId="15" fillId="18" borderId="0" xfId="0" applyNumberFormat="1" applyFont="1" applyFill="1"/>
    <xf numFmtId="169" fontId="41" fillId="0" borderId="0" xfId="0" applyNumberFormat="1" applyFont="1" applyAlignment="1">
      <alignment horizontal="center" vertical="top"/>
    </xf>
    <xf numFmtId="0" fontId="30" fillId="20" borderId="0" xfId="0" applyFont="1" applyFill="1" applyAlignment="1">
      <alignment horizontal="center" vertical="top"/>
    </xf>
    <xf numFmtId="169" fontId="41" fillId="20" borderId="0" xfId="0" applyNumberFormat="1" applyFont="1" applyFill="1" applyAlignment="1">
      <alignment horizontal="center"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horizontal="center" vertical="top"/>
    </xf>
    <xf numFmtId="0" fontId="7" fillId="20" borderId="0" xfId="0" applyFont="1" applyFill="1" applyAlignment="1">
      <alignment horizontal="center" vertical="top"/>
    </xf>
    <xf numFmtId="0" fontId="42" fillId="0" borderId="0" xfId="0" applyFont="1"/>
    <xf numFmtId="14" fontId="1" fillId="0" borderId="0" xfId="0" applyNumberFormat="1" applyFont="1" applyAlignment="1">
      <alignment horizontal="center" vertical="top"/>
    </xf>
    <xf numFmtId="14" fontId="1" fillId="20" borderId="0" xfId="0" applyNumberFormat="1" applyFont="1" applyFill="1" applyAlignment="1">
      <alignment horizontal="center" vertical="top"/>
    </xf>
    <xf numFmtId="169" fontId="14" fillId="20" borderId="0" xfId="0" applyNumberFormat="1" applyFont="1" applyFill="1" applyAlignment="1">
      <alignment horizontal="center" vertical="top"/>
    </xf>
    <xf numFmtId="164" fontId="15" fillId="24" borderId="0" xfId="0" applyNumberFormat="1" applyFont="1" applyFill="1"/>
    <xf numFmtId="0" fontId="10" fillId="25" borderId="0" xfId="0" applyFont="1" applyFill="1" applyAlignment="1">
      <alignment horizontal="right" vertical="top"/>
    </xf>
    <xf numFmtId="0" fontId="35" fillId="25" borderId="0" xfId="0" applyFont="1" applyFill="1" applyAlignment="1">
      <alignment horizontal="left"/>
    </xf>
    <xf numFmtId="0" fontId="36" fillId="25" borderId="0" xfId="0" applyFont="1" applyFill="1"/>
    <xf numFmtId="0" fontId="40" fillId="25" borderId="0" xfId="0" applyFont="1" applyFill="1"/>
    <xf numFmtId="0" fontId="42" fillId="25" borderId="0" xfId="0" applyFont="1" applyFill="1"/>
    <xf numFmtId="0" fontId="0" fillId="25" borderId="0" xfId="0" applyFill="1"/>
    <xf numFmtId="0" fontId="40" fillId="25" borderId="0" xfId="0" applyFont="1" applyFill="1" applyAlignment="1">
      <alignment horizontal="center" vertical="top"/>
    </xf>
    <xf numFmtId="0" fontId="0" fillId="25" borderId="0" xfId="0" applyFill="1" applyAlignment="1">
      <alignment horizontal="center" vertical="top"/>
    </xf>
    <xf numFmtId="0" fontId="40" fillId="25" borderId="0" xfId="0" applyFont="1" applyFill="1" applyAlignment="1">
      <alignment horizontal="left" vertical="top"/>
    </xf>
    <xf numFmtId="0" fontId="40" fillId="0" borderId="0" xfId="0" applyFont="1" applyAlignment="1">
      <alignment horizontal="left" vertical="top"/>
    </xf>
    <xf numFmtId="0" fontId="40" fillId="0" borderId="0" xfId="0" applyFont="1" applyAlignment="1">
      <alignment horizontal="left"/>
    </xf>
    <xf numFmtId="0" fontId="42" fillId="0" borderId="0" xfId="0" applyFont="1" applyAlignment="1">
      <alignment horizontal="left"/>
    </xf>
    <xf numFmtId="0" fontId="40" fillId="25" borderId="0" xfId="0" applyFont="1" applyFill="1" applyAlignment="1">
      <alignment horizontal="left"/>
    </xf>
    <xf numFmtId="0" fontId="42" fillId="25" borderId="0" xfId="0" applyFont="1" applyFill="1" applyAlignment="1">
      <alignment horizontal="left"/>
    </xf>
    <xf numFmtId="9" fontId="4" fillId="0" borderId="0" xfId="2" applyFont="1" applyAlignment="1">
      <alignment horizontal="center" vertical="top"/>
    </xf>
    <xf numFmtId="0" fontId="40" fillId="26" borderId="0" xfId="0" applyFont="1" applyFill="1"/>
    <xf numFmtId="0" fontId="42" fillId="26" borderId="0" xfId="0" applyFont="1" applyFill="1"/>
    <xf numFmtId="0" fontId="44" fillId="26" borderId="0" xfId="0" applyFont="1" applyFill="1"/>
    <xf numFmtId="0" fontId="44" fillId="0" borderId="0" xfId="0" applyFont="1"/>
    <xf numFmtId="0" fontId="0" fillId="26" borderId="0" xfId="0" applyFill="1" applyAlignment="1">
      <alignment horizontal="center" vertical="top"/>
    </xf>
    <xf numFmtId="0" fontId="40" fillId="26" borderId="0" xfId="0" applyFont="1" applyFill="1" applyAlignment="1">
      <alignment horizontal="left" vertical="top"/>
    </xf>
    <xf numFmtId="0" fontId="42" fillId="26" borderId="0" xfId="0" applyFont="1" applyFill="1" applyAlignment="1">
      <alignment horizontal="left"/>
    </xf>
    <xf numFmtId="0" fontId="40" fillId="26" borderId="0" xfId="0" applyFont="1" applyFill="1" applyAlignment="1">
      <alignment horizontal="left"/>
    </xf>
    <xf numFmtId="0" fontId="44" fillId="25" borderId="0" xfId="0" applyFont="1" applyFill="1"/>
    <xf numFmtId="0" fontId="38" fillId="26" borderId="0" xfId="0" applyFont="1" applyFill="1" applyAlignment="1">
      <alignment horizontal="left"/>
    </xf>
    <xf numFmtId="0" fontId="38" fillId="26" borderId="0" xfId="0" applyFont="1" applyFill="1"/>
    <xf numFmtId="0" fontId="38" fillId="0" borderId="0" xfId="0" applyFont="1" applyAlignment="1">
      <alignment horizontal="left"/>
    </xf>
    <xf numFmtId="0" fontId="38" fillId="0" borderId="7" xfId="0" applyFont="1" applyBorder="1" applyAlignment="1">
      <alignment vertical="center"/>
    </xf>
    <xf numFmtId="9" fontId="0" fillId="0" borderId="0" xfId="2" applyFont="1" applyAlignment="1">
      <alignment horizontal="center"/>
    </xf>
    <xf numFmtId="164" fontId="5" fillId="23" borderId="0" xfId="0" applyNumberFormat="1" applyFont="1" applyFill="1"/>
    <xf numFmtId="164" fontId="15" fillId="23" borderId="0" xfId="0" applyNumberFormat="1" applyFont="1" applyFill="1"/>
    <xf numFmtId="164" fontId="15" fillId="27" borderId="0" xfId="0" applyNumberFormat="1" applyFont="1" applyFill="1"/>
    <xf numFmtId="164" fontId="5" fillId="27" borderId="0" xfId="0" applyNumberFormat="1" applyFont="1" applyFill="1"/>
    <xf numFmtId="164" fontId="13" fillId="16" borderId="0" xfId="0" applyNumberFormat="1" applyFont="1" applyFill="1"/>
    <xf numFmtId="164" fontId="13" fillId="23" borderId="0" xfId="0" applyNumberFormat="1" applyFont="1" applyFill="1"/>
    <xf numFmtId="172" fontId="4" fillId="0" borderId="0" xfId="0" applyNumberFormat="1" applyFont="1" applyAlignment="1">
      <alignment horizontal="center" vertical="top"/>
    </xf>
    <xf numFmtId="165" fontId="0" fillId="26" borderId="0" xfId="0" applyNumberFormat="1" applyFill="1"/>
    <xf numFmtId="0" fontId="0" fillId="26" borderId="0" xfId="0" applyFill="1"/>
    <xf numFmtId="165" fontId="0" fillId="28" borderId="0" xfId="0" applyNumberFormat="1" applyFill="1"/>
    <xf numFmtId="0" fontId="0" fillId="28" borderId="0" xfId="0" applyFill="1"/>
    <xf numFmtId="164" fontId="6" fillId="0" borderId="0" xfId="0" applyNumberFormat="1" applyFont="1" applyAlignment="1">
      <alignment horizontal="right"/>
    </xf>
    <xf numFmtId="0" fontId="46" fillId="0" borderId="0" xfId="0" applyFont="1"/>
    <xf numFmtId="164" fontId="15" fillId="0" borderId="0" xfId="0" applyNumberFormat="1" applyFont="1" applyAlignment="1">
      <alignment horizontal="right"/>
    </xf>
    <xf numFmtId="1" fontId="0" fillId="0" borderId="0" xfId="0" applyNumberFormat="1" applyAlignment="1">
      <alignment horizontal="center"/>
    </xf>
    <xf numFmtId="1" fontId="0" fillId="26" borderId="0" xfId="0" applyNumberFormat="1" applyFill="1" applyAlignment="1">
      <alignment horizontal="center"/>
    </xf>
    <xf numFmtId="2" fontId="0" fillId="0" borderId="0" xfId="0" applyNumberFormat="1"/>
    <xf numFmtId="0" fontId="0" fillId="0" borderId="0" xfId="0" applyAlignment="1">
      <alignment horizontal="right"/>
    </xf>
    <xf numFmtId="44" fontId="0" fillId="0" borderId="0" xfId="1" applyFont="1"/>
    <xf numFmtId="44" fontId="0" fillId="25" borderId="0" xfId="1" applyFont="1" applyFill="1"/>
    <xf numFmtId="44" fontId="15" fillId="0" borderId="0" xfId="1" applyFont="1" applyAlignment="1">
      <alignment horizontal="center" vertical="top"/>
    </xf>
    <xf numFmtId="172" fontId="15" fillId="0" borderId="0" xfId="0" applyNumberFormat="1" applyFont="1" applyAlignment="1">
      <alignment horizontal="center" vertical="top"/>
    </xf>
    <xf numFmtId="164" fontId="5" fillId="24" borderId="0" xfId="0" applyNumberFormat="1" applyFont="1" applyFill="1"/>
    <xf numFmtId="10" fontId="4" fillId="0" borderId="0" xfId="0" applyNumberFormat="1" applyFont="1"/>
    <xf numFmtId="10" fontId="5" fillId="0" borderId="0" xfId="0" applyNumberFormat="1" applyFont="1"/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164" fontId="6" fillId="6" borderId="0" xfId="0" applyNumberFormat="1" applyFont="1" applyFill="1" applyAlignment="1">
      <alignment horizontal="center" vertical="top"/>
    </xf>
    <xf numFmtId="10" fontId="4" fillId="0" borderId="0" xfId="0" applyNumberFormat="1" applyFont="1" applyAlignment="1">
      <alignment horizontal="center"/>
    </xf>
    <xf numFmtId="171" fontId="46" fillId="0" borderId="0" xfId="2" applyNumberFormat="1" applyFont="1" applyAlignment="1">
      <alignment horizontal="left" indent="5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9" fontId="7" fillId="0" borderId="0" xfId="0" applyNumberFormat="1" applyFont="1" applyAlignment="1">
      <alignment horizontal="center" vertical="top"/>
    </xf>
    <xf numFmtId="165" fontId="0" fillId="26" borderId="0" xfId="0" applyNumberFormat="1" applyFill="1" applyAlignment="1">
      <alignment horizontal="center" vertical="top"/>
    </xf>
    <xf numFmtId="2" fontId="0" fillId="0" borderId="0" xfId="0" applyNumberFormat="1" applyAlignment="1">
      <alignment horizontal="center"/>
    </xf>
    <xf numFmtId="165" fontId="0" fillId="26" borderId="0" xfId="0" applyNumberFormat="1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6" borderId="0" xfId="0" applyFill="1" applyAlignment="1">
      <alignment horizontal="center"/>
    </xf>
    <xf numFmtId="165" fontId="0" fillId="26" borderId="0" xfId="0" applyNumberFormat="1" applyFill="1" applyAlignment="1">
      <alignment horizontal="center"/>
    </xf>
    <xf numFmtId="165" fontId="1" fillId="26" borderId="0" xfId="0" applyNumberFormat="1" applyFont="1" applyFill="1" applyAlignment="1">
      <alignment horizontal="center" vertical="top"/>
    </xf>
    <xf numFmtId="44" fontId="0" fillId="0" borderId="0" xfId="0" applyNumberFormat="1"/>
    <xf numFmtId="9" fontId="43" fillId="0" borderId="0" xfId="2" applyFont="1" applyAlignment="1">
      <alignment horizontal="center"/>
    </xf>
    <xf numFmtId="0" fontId="47" fillId="30" borderId="0" xfId="0" applyFont="1" applyFill="1"/>
    <xf numFmtId="0" fontId="0" fillId="30" borderId="0" xfId="0" applyFill="1"/>
    <xf numFmtId="44" fontId="0" fillId="0" borderId="0" xfId="0" applyNumberFormat="1" applyAlignment="1">
      <alignment horizontal="center"/>
    </xf>
    <xf numFmtId="0" fontId="0" fillId="30" borderId="0" xfId="0" applyFill="1" applyAlignment="1">
      <alignment horizontal="center"/>
    </xf>
    <xf numFmtId="9" fontId="43" fillId="0" borderId="0" xfId="6" applyFont="1" applyAlignment="1">
      <alignment horizontal="center"/>
    </xf>
    <xf numFmtId="0" fontId="47" fillId="30" borderId="0" xfId="0" applyFont="1" applyFill="1" applyAlignment="1">
      <alignment horizontal="center"/>
    </xf>
    <xf numFmtId="12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2" fontId="0" fillId="0" borderId="0" xfId="2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9" fontId="4" fillId="24" borderId="0" xfId="0" applyNumberFormat="1" applyFont="1" applyFill="1" applyAlignment="1">
      <alignment horizontal="center" vertical="top"/>
    </xf>
    <xf numFmtId="0" fontId="47" fillId="26" borderId="0" xfId="0" applyFont="1" applyFill="1" applyAlignment="1">
      <alignment horizontal="center"/>
    </xf>
    <xf numFmtId="164" fontId="48" fillId="24" borderId="0" xfId="0" applyNumberFormat="1" applyFont="1" applyFill="1" applyAlignment="1">
      <alignment horizontal="center" vertical="top"/>
    </xf>
    <xf numFmtId="44" fontId="47" fillId="25" borderId="0" xfId="0" applyNumberFormat="1" applyFont="1" applyFill="1" applyAlignment="1">
      <alignment horizontal="center"/>
    </xf>
    <xf numFmtId="44" fontId="47" fillId="29" borderId="0" xfId="0" applyNumberFormat="1" applyFont="1" applyFill="1" applyAlignment="1">
      <alignment horizontal="center"/>
    </xf>
    <xf numFmtId="169" fontId="23" fillId="32" borderId="0" xfId="0" applyNumberFormat="1" applyFont="1" applyFill="1" applyAlignment="1">
      <alignment horizontal="center" vertical="center"/>
    </xf>
    <xf numFmtId="169" fontId="34" fillId="32" borderId="0" xfId="0" applyNumberFormat="1" applyFont="1" applyFill="1" applyAlignment="1">
      <alignment horizontal="center" vertical="center"/>
    </xf>
    <xf numFmtId="169" fontId="25" fillId="32" borderId="0" xfId="0" applyNumberFormat="1" applyFont="1" applyFill="1" applyAlignment="1">
      <alignment horizontal="center" vertical="center"/>
    </xf>
    <xf numFmtId="169" fontId="24" fillId="32" borderId="0" xfId="0" applyNumberFormat="1" applyFont="1" applyFill="1" applyAlignment="1">
      <alignment horizontal="center" vertical="center"/>
    </xf>
    <xf numFmtId="0" fontId="23" fillId="32" borderId="0" xfId="0" applyFont="1" applyFill="1" applyAlignment="1">
      <alignment horizontal="center" vertical="center"/>
    </xf>
    <xf numFmtId="164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32" borderId="0" xfId="0" applyFont="1" applyFill="1" applyAlignment="1">
      <alignment horizontal="center" vertical="center"/>
    </xf>
    <xf numFmtId="0" fontId="50" fillId="30" borderId="0" xfId="0" applyFont="1" applyFill="1"/>
    <xf numFmtId="0" fontId="50" fillId="30" borderId="0" xfId="0" applyFont="1" applyFill="1" applyAlignment="1">
      <alignment horizontal="center"/>
    </xf>
    <xf numFmtId="44" fontId="0" fillId="29" borderId="0" xfId="0" applyNumberFormat="1" applyFill="1" applyAlignment="1">
      <alignment horizontal="center"/>
    </xf>
    <xf numFmtId="44" fontId="0" fillId="0" borderId="0" xfId="1" applyFont="1" applyAlignment="1">
      <alignment horizontal="center"/>
    </xf>
    <xf numFmtId="44" fontId="15" fillId="29" borderId="0" xfId="1" applyFont="1" applyFill="1"/>
    <xf numFmtId="0" fontId="24" fillId="0" borderId="0" xfId="0" applyFont="1" applyAlignment="1">
      <alignment horizontal="right" vertical="top"/>
    </xf>
    <xf numFmtId="0" fontId="17" fillId="29" borderId="0" xfId="0" applyFont="1" applyFill="1"/>
    <xf numFmtId="12" fontId="0" fillId="0" borderId="0" xfId="0" applyNumberFormat="1" applyAlignment="1">
      <alignment horizontal="center" vertical="center"/>
    </xf>
    <xf numFmtId="44" fontId="15" fillId="29" borderId="0" xfId="1" applyFont="1" applyFill="1" applyAlignment="1">
      <alignment horizontal="center" vertical="top"/>
    </xf>
    <xf numFmtId="44" fontId="43" fillId="0" borderId="0" xfId="6" applyNumberFormat="1" applyFont="1" applyAlignment="1">
      <alignment horizontal="center"/>
    </xf>
    <xf numFmtId="0" fontId="51" fillId="0" borderId="0" xfId="0" applyFont="1"/>
    <xf numFmtId="0" fontId="51" fillId="26" borderId="0" xfId="0" applyFont="1" applyFill="1"/>
    <xf numFmtId="0" fontId="52" fillId="25" borderId="0" xfId="0" applyFont="1" applyFill="1" applyAlignment="1">
      <alignment horizontal="left"/>
    </xf>
    <xf numFmtId="0" fontId="37" fillId="25" borderId="0" xfId="0" applyFont="1" applyFill="1"/>
    <xf numFmtId="0" fontId="38" fillId="6" borderId="0" xfId="0" applyFont="1" applyFill="1" applyAlignment="1">
      <alignment horizontal="left"/>
    </xf>
    <xf numFmtId="0" fontId="47" fillId="0" borderId="0" xfId="0" applyFont="1" applyAlignment="1">
      <alignment horizontal="right"/>
    </xf>
    <xf numFmtId="44" fontId="46" fillId="0" borderId="0" xfId="1" applyFont="1" applyFill="1"/>
    <xf numFmtId="0" fontId="54" fillId="26" borderId="0" xfId="0" applyFont="1" applyFill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22" fillId="33" borderId="0" xfId="0" applyFont="1" applyFill="1" applyAlignment="1">
      <alignment horizontal="right" vertical="top"/>
    </xf>
    <xf numFmtId="172" fontId="15" fillId="33" borderId="0" xfId="0" applyNumberFormat="1" applyFont="1" applyFill="1" applyAlignment="1">
      <alignment horizontal="center" vertical="top"/>
    </xf>
    <xf numFmtId="172" fontId="5" fillId="33" borderId="0" xfId="0" applyNumberFormat="1" applyFont="1" applyFill="1" applyAlignment="1">
      <alignment horizontal="center" vertical="top"/>
    </xf>
    <xf numFmtId="0" fontId="0" fillId="33" borderId="0" xfId="0" applyFill="1"/>
    <xf numFmtId="164" fontId="0" fillId="33" borderId="0" xfId="0" applyNumberFormat="1" applyFill="1"/>
    <xf numFmtId="9" fontId="57" fillId="0" borderId="0" xfId="0" applyNumberFormat="1" applyFont="1" applyAlignment="1">
      <alignment horizontal="center" vertical="top"/>
    </xf>
    <xf numFmtId="0" fontId="47" fillId="0" borderId="0" xfId="0" applyFont="1" applyAlignment="1">
      <alignment horizontal="center"/>
    </xf>
    <xf numFmtId="164" fontId="6" fillId="23" borderId="0" xfId="0" applyNumberFormat="1" applyFont="1" applyFill="1"/>
    <xf numFmtId="164" fontId="6" fillId="24" borderId="0" xfId="0" applyNumberFormat="1" applyFont="1" applyFill="1"/>
    <xf numFmtId="164" fontId="33" fillId="0" borderId="0" xfId="0" applyNumberFormat="1" applyFont="1"/>
    <xf numFmtId="172" fontId="7" fillId="0" borderId="0" xfId="0" applyNumberFormat="1" applyFont="1"/>
    <xf numFmtId="0" fontId="52" fillId="0" borderId="0" xfId="0" applyFont="1" applyAlignment="1">
      <alignment horizontal="left"/>
    </xf>
    <xf numFmtId="0" fontId="37" fillId="0" borderId="0" xfId="0" applyFont="1"/>
    <xf numFmtId="0" fontId="17" fillId="0" borderId="0" xfId="0" applyFont="1"/>
    <xf numFmtId="0" fontId="47" fillId="0" borderId="0" xfId="0" applyFont="1"/>
    <xf numFmtId="164" fontId="13" fillId="0" borderId="0" xfId="0" applyNumberFormat="1" applyFont="1"/>
    <xf numFmtId="0" fontId="42" fillId="0" borderId="0" xfId="0" applyFont="1" applyAlignment="1">
      <alignment horizontal="center"/>
    </xf>
    <xf numFmtId="0" fontId="18" fillId="0" borderId="0" xfId="0" applyFont="1" applyAlignment="1">
      <alignment horizontal="right" vertical="top"/>
    </xf>
    <xf numFmtId="44" fontId="10" fillId="0" borderId="0" xfId="1" applyFont="1" applyAlignment="1">
      <alignment horizontal="center" vertical="top"/>
    </xf>
    <xf numFmtId="0" fontId="59" fillId="0" borderId="0" xfId="0" applyFont="1"/>
    <xf numFmtId="164" fontId="59" fillId="0" borderId="0" xfId="0" applyNumberFormat="1" applyFont="1"/>
    <xf numFmtId="0" fontId="22" fillId="29" borderId="0" xfId="0" applyFont="1" applyFill="1" applyAlignment="1">
      <alignment horizontal="right" vertical="top"/>
    </xf>
    <xf numFmtId="44" fontId="4" fillId="20" borderId="0" xfId="1" applyFont="1" applyFill="1" applyBorder="1" applyAlignment="1">
      <alignment horizontal="center" vertical="top"/>
    </xf>
    <xf numFmtId="9" fontId="4" fillId="0" borderId="0" xfId="2" applyFont="1" applyBorder="1" applyAlignment="1">
      <alignment horizontal="center" vertical="top"/>
    </xf>
    <xf numFmtId="44" fontId="7" fillId="0" borderId="0" xfId="1" applyFont="1" applyBorder="1" applyAlignment="1">
      <alignment horizontal="center" vertical="top"/>
    </xf>
    <xf numFmtId="166" fontId="7" fillId="0" borderId="0" xfId="0" applyNumberFormat="1" applyFont="1" applyAlignment="1">
      <alignment horizontal="center"/>
    </xf>
    <xf numFmtId="165" fontId="7" fillId="26" borderId="0" xfId="0" applyNumberFormat="1" applyFont="1" applyFill="1" applyAlignment="1">
      <alignment horizontal="center"/>
    </xf>
    <xf numFmtId="165" fontId="47" fillId="0" borderId="0" xfId="0" applyNumberFormat="1" applyFont="1" applyAlignment="1">
      <alignment horizontal="center"/>
    </xf>
    <xf numFmtId="14" fontId="1" fillId="34" borderId="0" xfId="0" applyNumberFormat="1" applyFont="1" applyFill="1" applyAlignment="1">
      <alignment horizontal="center" vertical="top"/>
    </xf>
    <xf numFmtId="169" fontId="41" fillId="34" borderId="0" xfId="0" applyNumberFormat="1" applyFont="1" applyFill="1" applyAlignment="1">
      <alignment horizontal="center" vertical="top"/>
    </xf>
    <xf numFmtId="169" fontId="14" fillId="34" borderId="0" xfId="0" applyNumberFormat="1" applyFont="1" applyFill="1" applyAlignment="1">
      <alignment horizontal="center" vertical="top"/>
    </xf>
    <xf numFmtId="44" fontId="60" fillId="0" borderId="0" xfId="1" applyFont="1" applyAlignment="1">
      <alignment horizontal="center"/>
    </xf>
    <xf numFmtId="1" fontId="45" fillId="26" borderId="0" xfId="0" applyNumberFormat="1" applyFont="1" applyFill="1" applyAlignment="1">
      <alignment horizontal="center" vertical="center"/>
    </xf>
    <xf numFmtId="0" fontId="1" fillId="26" borderId="0" xfId="0" applyFont="1" applyFill="1" applyAlignment="1">
      <alignment horizontal="center"/>
    </xf>
    <xf numFmtId="14" fontId="30" fillId="34" borderId="0" xfId="0" applyNumberFormat="1" applyFont="1" applyFill="1" applyAlignment="1">
      <alignment horizontal="center" vertical="top"/>
    </xf>
    <xf numFmtId="14" fontId="7" fillId="34" borderId="0" xfId="0" applyNumberFormat="1" applyFont="1" applyFill="1" applyAlignment="1">
      <alignment horizontal="center" vertical="top"/>
    </xf>
    <xf numFmtId="14" fontId="39" fillId="34" borderId="0" xfId="0" applyNumberFormat="1" applyFont="1" applyFill="1" applyAlignment="1">
      <alignment vertical="top"/>
    </xf>
    <xf numFmtId="43" fontId="0" fillId="0" borderId="0" xfId="0" applyNumberFormat="1" applyAlignment="1">
      <alignment horizontal="center"/>
    </xf>
    <xf numFmtId="170" fontId="14" fillId="35" borderId="0" xfId="0" applyNumberFormat="1" applyFont="1" applyFill="1" applyAlignment="1">
      <alignment horizontal="center" vertical="top"/>
    </xf>
    <xf numFmtId="14" fontId="14" fillId="35" borderId="0" xfId="0" applyNumberFormat="1" applyFont="1" applyFill="1" applyAlignment="1">
      <alignment horizontal="center" vertical="top"/>
    </xf>
    <xf numFmtId="169" fontId="41" fillId="35" borderId="0" xfId="0" applyNumberFormat="1" applyFont="1" applyFill="1" applyAlignment="1">
      <alignment horizontal="center" vertical="top"/>
    </xf>
    <xf numFmtId="169" fontId="14" fillId="35" borderId="0" xfId="0" applyNumberFormat="1" applyFont="1" applyFill="1" applyAlignment="1">
      <alignment horizontal="center" vertical="top"/>
    </xf>
    <xf numFmtId="14" fontId="9" fillId="35" borderId="0" xfId="0" applyNumberFormat="1" applyFont="1" applyFill="1" applyAlignment="1">
      <alignment horizontal="center" vertical="top"/>
    </xf>
    <xf numFmtId="14" fontId="14" fillId="35" borderId="0" xfId="0" applyNumberFormat="1" applyFont="1" applyFill="1" applyAlignment="1">
      <alignment vertical="top"/>
    </xf>
    <xf numFmtId="0" fontId="4" fillId="0" borderId="0" xfId="0" applyFont="1" applyAlignment="1">
      <alignment horizontal="center" vertical="center"/>
    </xf>
    <xf numFmtId="43" fontId="60" fillId="0" borderId="0" xfId="0" applyNumberFormat="1" applyFont="1"/>
    <xf numFmtId="9" fontId="6" fillId="0" borderId="0" xfId="2" applyFont="1" applyFill="1"/>
    <xf numFmtId="0" fontId="2" fillId="2" borderId="0" xfId="0" applyFont="1" applyFill="1" applyAlignment="1">
      <alignment horizontal="right" vertical="top"/>
    </xf>
    <xf numFmtId="0" fontId="15" fillId="0" borderId="0" xfId="0" applyFont="1" applyAlignment="1">
      <alignment horizontal="right"/>
    </xf>
    <xf numFmtId="0" fontId="8" fillId="5" borderId="0" xfId="0" applyFont="1" applyFill="1" applyAlignment="1">
      <alignment horizontal="right"/>
    </xf>
    <xf numFmtId="0" fontId="8" fillId="2" borderId="0" xfId="0" applyFont="1" applyFill="1" applyAlignment="1">
      <alignment horizontal="right"/>
    </xf>
    <xf numFmtId="0" fontId="12" fillId="2" borderId="0" xfId="0" applyFont="1" applyFill="1" applyAlignment="1">
      <alignment horizontal="right" vertical="center"/>
    </xf>
    <xf numFmtId="170" fontId="46" fillId="30" borderId="0" xfId="0" applyNumberFormat="1" applyFont="1" applyFill="1" applyAlignment="1">
      <alignment horizontal="center"/>
    </xf>
    <xf numFmtId="44" fontId="62" fillId="0" borderId="0" xfId="1" applyFont="1"/>
    <xf numFmtId="9" fontId="62" fillId="0" borderId="0" xfId="2" applyFont="1"/>
    <xf numFmtId="44" fontId="63" fillId="0" borderId="0" xfId="0" applyNumberFormat="1" applyFont="1"/>
    <xf numFmtId="44" fontId="15" fillId="0" borderId="0" xfId="0" applyNumberFormat="1" applyFont="1"/>
    <xf numFmtId="0" fontId="60" fillId="0" borderId="0" xfId="0" applyFont="1"/>
    <xf numFmtId="10" fontId="6" fillId="0" borderId="0" xfId="0" applyNumberFormat="1" applyFont="1" applyAlignment="1">
      <alignment horizontal="center"/>
    </xf>
    <xf numFmtId="44" fontId="47" fillId="0" borderId="0" xfId="1" applyFont="1" applyFill="1" applyAlignment="1">
      <alignment horizontal="center"/>
    </xf>
    <xf numFmtId="44" fontId="6" fillId="0" borderId="0" xfId="1" applyFont="1" applyAlignment="1">
      <alignment horizontal="center"/>
    </xf>
    <xf numFmtId="44" fontId="47" fillId="30" borderId="0" xfId="0" applyNumberFormat="1" applyFont="1" applyFill="1"/>
    <xf numFmtId="44" fontId="47" fillId="0" borderId="0" xfId="0" applyNumberFormat="1" applyFont="1"/>
    <xf numFmtId="0" fontId="46" fillId="30" borderId="0" xfId="0" applyFont="1" applyFill="1"/>
    <xf numFmtId="44" fontId="0" fillId="25" borderId="0" xfId="0" applyNumberFormat="1" applyFill="1"/>
    <xf numFmtId="44" fontId="0" fillId="25" borderId="0" xfId="0" applyNumberFormat="1" applyFill="1" applyAlignment="1">
      <alignment horizontal="center"/>
    </xf>
    <xf numFmtId="0" fontId="38" fillId="20" borderId="0" xfId="0" applyFont="1" applyFill="1"/>
    <xf numFmtId="0" fontId="8" fillId="36" borderId="0" xfId="0" applyFont="1" applyFill="1" applyAlignment="1">
      <alignment horizontal="right" vertical="top"/>
    </xf>
    <xf numFmtId="9" fontId="4" fillId="36" borderId="0" xfId="0" applyNumberFormat="1" applyFont="1" applyFill="1" applyAlignment="1">
      <alignment horizontal="center" vertical="top"/>
    </xf>
    <xf numFmtId="0" fontId="0" fillId="36" borderId="0" xfId="0" applyFill="1"/>
    <xf numFmtId="164" fontId="0" fillId="36" borderId="0" xfId="0" applyNumberFormat="1" applyFill="1"/>
    <xf numFmtId="0" fontId="11" fillId="37" borderId="0" xfId="9" applyFill="1" applyAlignment="1">
      <alignment horizontal="center" vertical="center"/>
    </xf>
    <xf numFmtId="0" fontId="67" fillId="37" borderId="0" xfId="9" applyFont="1" applyFill="1" applyAlignment="1">
      <alignment horizontal="center" vertical="center"/>
    </xf>
    <xf numFmtId="0" fontId="11" fillId="37" borderId="0" xfId="9" applyFill="1" applyAlignment="1">
      <alignment horizontal="center" vertical="center" wrapText="1"/>
    </xf>
    <xf numFmtId="0" fontId="11" fillId="37" borderId="0" xfId="9" applyFill="1"/>
    <xf numFmtId="0" fontId="11" fillId="0" borderId="0" xfId="9"/>
    <xf numFmtId="0" fontId="0" fillId="37" borderId="20" xfId="9" applyFont="1" applyFill="1" applyBorder="1" applyAlignment="1">
      <alignment horizontal="center" vertical="center"/>
    </xf>
    <xf numFmtId="0" fontId="11" fillId="37" borderId="20" xfId="9" applyFill="1" applyBorder="1" applyAlignment="1">
      <alignment horizontal="center" vertical="center"/>
    </xf>
    <xf numFmtId="44" fontId="11" fillId="37" borderId="20" xfId="4" applyFont="1" applyFill="1" applyBorder="1" applyAlignment="1">
      <alignment horizontal="center" vertical="center"/>
    </xf>
    <xf numFmtId="44" fontId="11" fillId="37" borderId="0" xfId="9" applyNumberFormat="1" applyFill="1"/>
    <xf numFmtId="0" fontId="83" fillId="38" borderId="21" xfId="9" applyFont="1" applyFill="1" applyBorder="1" applyAlignment="1" applyProtection="1">
      <alignment horizontal="center" vertical="center" wrapText="1"/>
      <protection locked="0"/>
    </xf>
    <xf numFmtId="0" fontId="83" fillId="38" borderId="20" xfId="9" applyFont="1" applyFill="1" applyBorder="1" applyAlignment="1" applyProtection="1">
      <alignment horizontal="center" vertical="center" wrapText="1"/>
      <protection locked="0"/>
    </xf>
    <xf numFmtId="0" fontId="84" fillId="37" borderId="0" xfId="9" applyFont="1" applyFill="1"/>
    <xf numFmtId="0" fontId="84" fillId="0" borderId="0" xfId="9" applyFont="1"/>
    <xf numFmtId="0" fontId="85" fillId="0" borderId="20" xfId="9" applyFont="1" applyBorder="1" applyAlignment="1">
      <alignment horizontal="left" vertical="center" wrapText="1"/>
    </xf>
    <xf numFmtId="0" fontId="85" fillId="0" borderId="20" xfId="9" applyFont="1" applyBorder="1" applyAlignment="1" applyProtection="1">
      <alignment horizontal="center" vertical="center" wrapText="1"/>
      <protection locked="0"/>
    </xf>
    <xf numFmtId="9" fontId="85" fillId="0" borderId="20" xfId="9" applyNumberFormat="1" applyFont="1" applyBorder="1" applyAlignment="1" applyProtection="1">
      <alignment horizontal="center" vertical="center" wrapText="1"/>
      <protection locked="0"/>
    </xf>
    <xf numFmtId="173" fontId="85" fillId="0" borderId="20" xfId="9" applyNumberFormat="1" applyFont="1" applyBorder="1" applyAlignment="1">
      <alignment horizontal="center" vertical="center"/>
    </xf>
    <xf numFmtId="0" fontId="85" fillId="0" borderId="20" xfId="9" applyFont="1" applyBorder="1" applyAlignment="1">
      <alignment horizontal="center" vertical="center"/>
    </xf>
    <xf numFmtId="0" fontId="75" fillId="25" borderId="20" xfId="9" applyFont="1" applyFill="1" applyBorder="1" applyAlignment="1" applyProtection="1">
      <alignment horizontal="center" vertical="center" wrapText="1"/>
      <protection locked="0"/>
    </xf>
    <xf numFmtId="0" fontId="90" fillId="0" borderId="20" xfId="9" applyFont="1" applyBorder="1" applyAlignment="1">
      <alignment vertical="center" wrapText="1"/>
    </xf>
    <xf numFmtId="0" fontId="90" fillId="0" borderId="20" xfId="9" applyFont="1" applyBorder="1" applyAlignment="1">
      <alignment horizontal="center" vertical="center" wrapText="1"/>
    </xf>
    <xf numFmtId="0" fontId="89" fillId="25" borderId="20" xfId="9" applyFont="1" applyFill="1" applyBorder="1" applyAlignment="1">
      <alignment horizontal="center" vertical="center"/>
    </xf>
    <xf numFmtId="0" fontId="92" fillId="0" borderId="20" xfId="9" applyFont="1" applyBorder="1" applyAlignment="1">
      <alignment vertical="center" wrapText="1"/>
    </xf>
    <xf numFmtId="0" fontId="90" fillId="37" borderId="0" xfId="9" applyFont="1" applyFill="1"/>
    <xf numFmtId="0" fontId="90" fillId="0" borderId="0" xfId="9" applyFont="1"/>
    <xf numFmtId="0" fontId="11" fillId="26" borderId="0" xfId="9" applyFill="1" applyAlignment="1">
      <alignment horizontal="center" vertical="center"/>
    </xf>
    <xf numFmtId="0" fontId="67" fillId="26" borderId="0" xfId="9" applyFont="1" applyFill="1" applyAlignment="1">
      <alignment horizontal="center" vertical="center"/>
    </xf>
    <xf numFmtId="0" fontId="11" fillId="26" borderId="0" xfId="9" applyFill="1" applyAlignment="1">
      <alignment horizontal="center" vertical="center" wrapText="1"/>
    </xf>
    <xf numFmtId="0" fontId="11" fillId="0" borderId="0" xfId="9" applyAlignment="1">
      <alignment horizontal="center" vertical="center" wrapText="1"/>
    </xf>
    <xf numFmtId="0" fontId="11" fillId="0" borderId="0" xfId="9" applyAlignment="1">
      <alignment horizontal="center" vertical="center"/>
    </xf>
    <xf numFmtId="0" fontId="67" fillId="0" borderId="0" xfId="9" applyFont="1" applyAlignment="1">
      <alignment horizontal="center" vertical="center"/>
    </xf>
    <xf numFmtId="44" fontId="1" fillId="0" borderId="0" xfId="1" applyFont="1" applyFill="1" applyBorder="1" applyAlignment="1">
      <alignment horizontal="center" vertical="top"/>
    </xf>
    <xf numFmtId="9" fontId="59" fillId="0" borderId="0" xfId="0" applyNumberFormat="1" applyFont="1" applyAlignment="1">
      <alignment vertical="top"/>
    </xf>
    <xf numFmtId="44" fontId="0" fillId="30" borderId="0" xfId="1" applyFont="1" applyFill="1"/>
    <xf numFmtId="9" fontId="87" fillId="0" borderId="20" xfId="9" applyNumberFormat="1" applyFont="1" applyBorder="1" applyAlignment="1" applyProtection="1">
      <alignment horizontal="center" vertical="center" wrapText="1"/>
      <protection locked="0"/>
    </xf>
    <xf numFmtId="0" fontId="87" fillId="0" borderId="20" xfId="9" applyFont="1" applyBorder="1" applyAlignment="1">
      <alignment horizontal="left" vertical="center" wrapText="1"/>
    </xf>
    <xf numFmtId="0" fontId="0" fillId="0" borderId="8" xfId="0" applyBorder="1"/>
    <xf numFmtId="0" fontId="16" fillId="2" borderId="9" xfId="0" applyFont="1" applyFill="1" applyBorder="1" applyAlignment="1">
      <alignment horizontal="right" vertical="top"/>
    </xf>
    <xf numFmtId="0" fontId="3" fillId="2" borderId="9" xfId="0" applyFont="1" applyFill="1" applyBorder="1" applyAlignment="1">
      <alignment horizontal="center" vertical="top"/>
    </xf>
    <xf numFmtId="0" fontId="2" fillId="3" borderId="9" xfId="0" applyFont="1" applyFill="1" applyBorder="1" applyAlignment="1">
      <alignment horizontal="center" vertical="top"/>
    </xf>
    <xf numFmtId="0" fontId="0" fillId="0" borderId="10" xfId="0" applyBorder="1"/>
    <xf numFmtId="0" fontId="0" fillId="0" borderId="11" xfId="0" applyBorder="1"/>
    <xf numFmtId="0" fontId="5" fillId="0" borderId="0" xfId="0" applyFont="1" applyAlignment="1">
      <alignment horizontal="right"/>
    </xf>
    <xf numFmtId="164" fontId="5" fillId="0" borderId="12" xfId="0" applyNumberFormat="1" applyFont="1" applyBorder="1"/>
    <xf numFmtId="172" fontId="1" fillId="0" borderId="0" xfId="0" applyNumberFormat="1" applyFont="1" applyAlignment="1">
      <alignment horizontal="center" vertical="top"/>
    </xf>
    <xf numFmtId="164" fontId="6" fillId="0" borderId="12" xfId="0" applyNumberFormat="1" applyFont="1" applyBorder="1"/>
    <xf numFmtId="0" fontId="7" fillId="0" borderId="11" xfId="0" applyFont="1" applyBorder="1"/>
    <xf numFmtId="164" fontId="33" fillId="31" borderId="0" xfId="0" applyNumberFormat="1" applyFont="1" applyFill="1"/>
    <xf numFmtId="0" fontId="53" fillId="0" borderId="0" xfId="0" applyFont="1" applyAlignment="1">
      <alignment horizontal="right"/>
    </xf>
    <xf numFmtId="0" fontId="4" fillId="26" borderId="0" xfId="0" applyFont="1" applyFill="1" applyAlignment="1">
      <alignment horizontal="center"/>
    </xf>
    <xf numFmtId="44" fontId="46" fillId="27" borderId="0" xfId="1" applyFont="1" applyFill="1" applyBorder="1"/>
    <xf numFmtId="10" fontId="5" fillId="0" borderId="0" xfId="0" applyNumberFormat="1" applyFont="1" applyAlignment="1">
      <alignment horizontal="center"/>
    </xf>
    <xf numFmtId="10" fontId="5" fillId="0" borderId="12" xfId="0" applyNumberFormat="1" applyFont="1" applyBorder="1"/>
    <xf numFmtId="165" fontId="14" fillId="0" borderId="0" xfId="0" applyNumberFormat="1" applyFont="1" applyAlignment="1">
      <alignment horizontal="center" vertical="top"/>
    </xf>
    <xf numFmtId="165" fontId="49" fillId="0" borderId="0" xfId="0" applyNumberFormat="1" applyFont="1" applyAlignment="1">
      <alignment horizontal="center" vertical="top"/>
    </xf>
    <xf numFmtId="0" fontId="0" fillId="0" borderId="12" xfId="0" applyBorder="1"/>
    <xf numFmtId="0" fontId="0" fillId="0" borderId="13" xfId="0" applyBorder="1"/>
    <xf numFmtId="0" fontId="8" fillId="0" borderId="14" xfId="0" applyFont="1" applyBorder="1" applyAlignment="1">
      <alignment horizontal="right" vertical="top"/>
    </xf>
    <xf numFmtId="165" fontId="4" fillId="0" borderId="14" xfId="0" applyNumberFormat="1" applyFont="1" applyBorder="1" applyAlignment="1">
      <alignment horizontal="center" vertical="top"/>
    </xf>
    <xf numFmtId="0" fontId="0" fillId="0" borderId="15" xfId="0" applyBorder="1"/>
    <xf numFmtId="0" fontId="10" fillId="0" borderId="0" xfId="0" applyFont="1" applyAlignment="1">
      <alignment horizontal="right" vertical="center"/>
    </xf>
    <xf numFmtId="0" fontId="66" fillId="31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59" fillId="0" borderId="0" xfId="0" applyFont="1" applyAlignment="1">
      <alignment horizontal="right" vertical="top"/>
    </xf>
    <xf numFmtId="164" fontId="1" fillId="0" borderId="0" xfId="0" applyNumberFormat="1" applyFont="1" applyAlignment="1">
      <alignment horizontal="right"/>
    </xf>
    <xf numFmtId="44" fontId="46" fillId="0" borderId="0" xfId="1" applyFont="1" applyFill="1" applyBorder="1"/>
    <xf numFmtId="165" fontId="100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/>
    </xf>
    <xf numFmtId="164" fontId="48" fillId="0" borderId="0" xfId="0" applyNumberFormat="1" applyFont="1" applyAlignment="1">
      <alignment horizontal="center" vertical="top"/>
    </xf>
    <xf numFmtId="9" fontId="0" fillId="24" borderId="0" xfId="2" applyFont="1" applyFill="1" applyBorder="1"/>
    <xf numFmtId="14" fontId="14" fillId="0" borderId="0" xfId="0" applyNumberFormat="1" applyFont="1" applyAlignment="1">
      <alignment horizontal="center" vertical="top"/>
    </xf>
    <xf numFmtId="170" fontId="14" fillId="0" borderId="0" xfId="0" applyNumberFormat="1" applyFont="1" applyAlignment="1">
      <alignment horizontal="center" vertical="top"/>
    </xf>
    <xf numFmtId="0" fontId="38" fillId="0" borderId="0" xfId="0" applyFont="1" applyAlignment="1">
      <alignment vertical="center"/>
    </xf>
    <xf numFmtId="44" fontId="51" fillId="0" borderId="0" xfId="0" applyNumberFormat="1" applyFont="1"/>
    <xf numFmtId="44" fontId="0" fillId="0" borderId="0" xfId="1" applyFont="1" applyBorder="1"/>
    <xf numFmtId="44" fontId="47" fillId="0" borderId="0" xfId="1" applyFont="1" applyBorder="1"/>
    <xf numFmtId="44" fontId="0" fillId="25" borderId="0" xfId="1" applyFont="1" applyFill="1" applyBorder="1"/>
    <xf numFmtId="44" fontId="62" fillId="0" borderId="0" xfId="1" applyFont="1" applyBorder="1"/>
    <xf numFmtId="44" fontId="0" fillId="30" borderId="0" xfId="1" applyFont="1" applyFill="1" applyBorder="1"/>
    <xf numFmtId="44" fontId="45" fillId="30" borderId="0" xfId="1" applyFont="1" applyFill="1" applyBorder="1"/>
    <xf numFmtId="44" fontId="0" fillId="30" borderId="0" xfId="1" applyFont="1" applyFill="1" applyBorder="1" applyAlignment="1">
      <alignment horizontal="center" vertical="center"/>
    </xf>
    <xf numFmtId="0" fontId="59" fillId="0" borderId="11" xfId="0" applyFont="1" applyBorder="1"/>
    <xf numFmtId="0" fontId="66" fillId="31" borderId="11" xfId="0" applyFont="1" applyFill="1" applyBorder="1" applyAlignment="1">
      <alignment horizontal="center"/>
    </xf>
    <xf numFmtId="0" fontId="66" fillId="0" borderId="11" xfId="0" applyFont="1" applyBorder="1" applyAlignment="1">
      <alignment horizontal="center"/>
    </xf>
    <xf numFmtId="164" fontId="98" fillId="27" borderId="14" xfId="0" applyNumberFormat="1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/>
    <xf numFmtId="44" fontId="46" fillId="0" borderId="14" xfId="1" applyFont="1" applyFill="1" applyBorder="1"/>
    <xf numFmtId="164" fontId="5" fillId="0" borderId="14" xfId="0" applyNumberFormat="1" applyFont="1" applyBorder="1"/>
    <xf numFmtId="164" fontId="5" fillId="0" borderId="15" xfId="0" applyNumberFormat="1" applyFont="1" applyBorder="1"/>
    <xf numFmtId="0" fontId="7" fillId="0" borderId="9" xfId="0" applyFont="1" applyBorder="1" applyAlignment="1">
      <alignment horizontal="center"/>
    </xf>
    <xf numFmtId="10" fontId="5" fillId="0" borderId="10" xfId="0" applyNumberFormat="1" applyFont="1" applyBorder="1"/>
    <xf numFmtId="0" fontId="14" fillId="0" borderId="11" xfId="0" applyFont="1" applyBorder="1"/>
    <xf numFmtId="0" fontId="14" fillId="0" borderId="12" xfId="0" applyFont="1" applyBorder="1"/>
    <xf numFmtId="9" fontId="4" fillId="0" borderId="12" xfId="0" applyNumberFormat="1" applyFont="1" applyBorder="1" applyAlignment="1">
      <alignment horizontal="center" vertical="top"/>
    </xf>
    <xf numFmtId="44" fontId="0" fillId="0" borderId="14" xfId="0" applyNumberFormat="1" applyBorder="1"/>
    <xf numFmtId="0" fontId="66" fillId="31" borderId="8" xfId="0" applyFont="1" applyFill="1" applyBorder="1" applyAlignment="1">
      <alignment horizontal="center"/>
    </xf>
    <xf numFmtId="0" fontId="8" fillId="0" borderId="9" xfId="0" applyFont="1" applyBorder="1" applyAlignment="1">
      <alignment horizontal="right" vertical="top"/>
    </xf>
    <xf numFmtId="9" fontId="99" fillId="0" borderId="9" xfId="2" applyFont="1" applyBorder="1" applyAlignment="1">
      <alignment horizontal="center" vertical="center"/>
    </xf>
    <xf numFmtId="9" fontId="0" fillId="0" borderId="9" xfId="2" applyFont="1" applyBorder="1" applyAlignment="1">
      <alignment horizontal="center" vertical="center"/>
    </xf>
    <xf numFmtId="0" fontId="7" fillId="0" borderId="9" xfId="0" applyFont="1" applyBorder="1" applyAlignment="1">
      <alignment horizontal="right" vertical="top"/>
    </xf>
    <xf numFmtId="0" fontId="0" fillId="0" borderId="9" xfId="0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9" xfId="0" applyBorder="1"/>
    <xf numFmtId="0" fontId="10" fillId="0" borderId="14" xfId="0" applyFont="1" applyBorder="1" applyAlignment="1">
      <alignment horizontal="right" vertical="top"/>
    </xf>
    <xf numFmtId="169" fontId="7" fillId="0" borderId="14" xfId="0" applyNumberFormat="1" applyFont="1" applyBorder="1" applyAlignment="1">
      <alignment horizontal="center" vertical="top"/>
    </xf>
    <xf numFmtId="169" fontId="7" fillId="0" borderId="14" xfId="0" applyNumberFormat="1" applyFont="1" applyBorder="1" applyAlignment="1">
      <alignment vertical="top"/>
    </xf>
    <xf numFmtId="172" fontId="7" fillId="0" borderId="14" xfId="0" applyNumberFormat="1" applyFont="1" applyBorder="1"/>
    <xf numFmtId="43" fontId="7" fillId="0" borderId="14" xfId="0" applyNumberFormat="1" applyFont="1" applyBorder="1"/>
    <xf numFmtId="2" fontId="7" fillId="0" borderId="14" xfId="0" applyNumberFormat="1" applyFont="1" applyBorder="1"/>
    <xf numFmtId="0" fontId="7" fillId="0" borderId="14" xfId="0" applyFont="1" applyBorder="1"/>
    <xf numFmtId="0" fontId="10" fillId="0" borderId="9" xfId="0" applyFont="1" applyBorder="1" applyAlignment="1">
      <alignment horizontal="right" vertical="top"/>
    </xf>
    <xf numFmtId="1" fontId="7" fillId="0" borderId="9" xfId="0" applyNumberFormat="1" applyFont="1" applyBorder="1" applyAlignment="1">
      <alignment horizontal="center" vertical="top"/>
    </xf>
    <xf numFmtId="0" fontId="7" fillId="0" borderId="9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1" fillId="0" borderId="9" xfId="0" applyFont="1" applyBorder="1" applyAlignment="1">
      <alignment horizontal="center"/>
    </xf>
    <xf numFmtId="0" fontId="4" fillId="0" borderId="9" xfId="0" applyFont="1" applyBorder="1"/>
    <xf numFmtId="0" fontId="7" fillId="0" borderId="14" xfId="0" applyFont="1" applyBorder="1" applyAlignment="1">
      <alignment horizontal="center" vertical="top"/>
    </xf>
    <xf numFmtId="0" fontId="7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 vertical="top"/>
    </xf>
    <xf numFmtId="0" fontId="1" fillId="0" borderId="14" xfId="0" applyFont="1" applyBorder="1" applyAlignment="1">
      <alignment horizontal="center"/>
    </xf>
    <xf numFmtId="0" fontId="4" fillId="0" borderId="14" xfId="0" applyFont="1" applyBorder="1"/>
    <xf numFmtId="165" fontId="1" fillId="0" borderId="9" xfId="0" applyNumberFormat="1" applyFont="1" applyBorder="1" applyAlignment="1">
      <alignment horizontal="center" vertical="top"/>
    </xf>
    <xf numFmtId="165" fontId="0" fillId="0" borderId="9" xfId="0" applyNumberFormat="1" applyBorder="1" applyAlignment="1">
      <alignment horizontal="center"/>
    </xf>
    <xf numFmtId="165" fontId="0" fillId="0" borderId="9" xfId="0" applyNumberFormat="1" applyBorder="1"/>
    <xf numFmtId="165" fontId="0" fillId="0" borderId="9" xfId="0" applyNumberFormat="1" applyBorder="1" applyAlignment="1">
      <alignment horizontal="center" vertical="center"/>
    </xf>
    <xf numFmtId="0" fontId="47" fillId="0" borderId="14" xfId="0" applyFont="1" applyBorder="1" applyAlignment="1">
      <alignment horizontal="right"/>
    </xf>
    <xf numFmtId="164" fontId="1" fillId="0" borderId="9" xfId="0" quotePrefix="1" applyNumberFormat="1" applyFont="1" applyBorder="1" applyAlignment="1">
      <alignment horizontal="center" vertical="top"/>
    </xf>
    <xf numFmtId="164" fontId="4" fillId="0" borderId="9" xfId="0" applyNumberFormat="1" applyFont="1" applyBorder="1" applyAlignment="1">
      <alignment horizontal="center" vertical="top"/>
    </xf>
    <xf numFmtId="0" fontId="20" fillId="0" borderId="14" xfId="0" applyFont="1" applyBorder="1" applyAlignment="1">
      <alignment horizontal="right" vertical="top"/>
    </xf>
    <xf numFmtId="170" fontId="14" fillId="0" borderId="14" xfId="0" applyNumberFormat="1" applyFont="1" applyBorder="1" applyAlignment="1">
      <alignment horizontal="center" vertical="top"/>
    </xf>
    <xf numFmtId="9" fontId="4" fillId="0" borderId="14" xfId="0" applyNumberFormat="1" applyFont="1" applyBorder="1" applyAlignment="1">
      <alignment horizontal="center" vertical="top"/>
    </xf>
    <xf numFmtId="9" fontId="4" fillId="0" borderId="15" xfId="0" applyNumberFormat="1" applyFont="1" applyBorder="1" applyAlignment="1">
      <alignment horizontal="center" vertical="top"/>
    </xf>
    <xf numFmtId="1" fontId="0" fillId="0" borderId="9" xfId="0" applyNumberFormat="1" applyBorder="1" applyAlignment="1">
      <alignment horizontal="center" vertical="center"/>
    </xf>
    <xf numFmtId="1" fontId="45" fillId="0" borderId="9" xfId="0" applyNumberFormat="1" applyFont="1" applyBorder="1" applyAlignment="1">
      <alignment horizontal="center" vertical="center"/>
    </xf>
    <xf numFmtId="0" fontId="66" fillId="0" borderId="13" xfId="0" applyFont="1" applyBorder="1" applyAlignment="1">
      <alignment horizontal="center"/>
    </xf>
    <xf numFmtId="1" fontId="0" fillId="0" borderId="14" xfId="0" applyNumberFormat="1" applyBorder="1" applyAlignment="1">
      <alignment horizontal="center" vertical="center"/>
    </xf>
    <xf numFmtId="1" fontId="45" fillId="0" borderId="14" xfId="0" applyNumberFormat="1" applyFont="1" applyBorder="1" applyAlignment="1">
      <alignment horizontal="center" vertical="center"/>
    </xf>
    <xf numFmtId="9" fontId="0" fillId="0" borderId="9" xfId="2" applyFont="1" applyFill="1" applyBorder="1" applyAlignment="1">
      <alignment horizontal="center"/>
    </xf>
    <xf numFmtId="10" fontId="0" fillId="0" borderId="9" xfId="0" applyNumberFormat="1" applyBorder="1" applyAlignment="1">
      <alignment horizontal="center" vertical="top"/>
    </xf>
    <xf numFmtId="9" fontId="0" fillId="0" borderId="9" xfId="0" applyNumberFormat="1" applyBorder="1" applyAlignment="1">
      <alignment horizontal="center" vertical="top"/>
    </xf>
    <xf numFmtId="9" fontId="0" fillId="0" borderId="9" xfId="0" applyNumberFormat="1" applyBorder="1" applyAlignment="1">
      <alignment vertical="top"/>
    </xf>
    <xf numFmtId="169" fontId="23" fillId="0" borderId="9" xfId="0" applyNumberFormat="1" applyFont="1" applyBorder="1" applyAlignment="1">
      <alignment horizontal="center" vertical="center"/>
    </xf>
    <xf numFmtId="169" fontId="34" fillId="0" borderId="9" xfId="0" applyNumberFormat="1" applyFont="1" applyBorder="1" applyAlignment="1">
      <alignment horizontal="center" vertical="center"/>
    </xf>
    <xf numFmtId="169" fontId="25" fillId="0" borderId="9" xfId="0" applyNumberFormat="1" applyFont="1" applyBorder="1" applyAlignment="1">
      <alignment horizontal="center" vertical="center"/>
    </xf>
    <xf numFmtId="169" fontId="24" fillId="0" borderId="9" xfId="0" applyNumberFormat="1" applyFont="1" applyBorder="1" applyAlignment="1">
      <alignment horizontal="center" vertical="center"/>
    </xf>
    <xf numFmtId="0" fontId="23" fillId="32" borderId="10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right" vertical="center"/>
    </xf>
    <xf numFmtId="169" fontId="23" fillId="0" borderId="14" xfId="0" applyNumberFormat="1" applyFont="1" applyBorder="1" applyAlignment="1">
      <alignment horizontal="center" vertical="center"/>
    </xf>
    <xf numFmtId="169" fontId="34" fillId="0" borderId="14" xfId="0" applyNumberFormat="1" applyFont="1" applyBorder="1" applyAlignment="1">
      <alignment horizontal="center" vertical="center"/>
    </xf>
    <xf numFmtId="169" fontId="25" fillId="0" borderId="14" xfId="0" applyNumberFormat="1" applyFont="1" applyBorder="1" applyAlignment="1">
      <alignment horizontal="center" vertical="center"/>
    </xf>
    <xf numFmtId="169" fontId="24" fillId="0" borderId="14" xfId="0" applyNumberFormat="1" applyFont="1" applyBorder="1" applyAlignment="1">
      <alignment horizontal="center" vertical="center"/>
    </xf>
    <xf numFmtId="0" fontId="23" fillId="32" borderId="15" xfId="0" applyFont="1" applyFill="1" applyBorder="1" applyAlignment="1">
      <alignment horizontal="center" vertical="center"/>
    </xf>
    <xf numFmtId="0" fontId="18" fillId="0" borderId="9" xfId="0" applyFont="1" applyBorder="1" applyAlignment="1">
      <alignment horizontal="right" vertical="top"/>
    </xf>
    <xf numFmtId="44" fontId="10" fillId="0" borderId="9" xfId="1" applyFont="1" applyFill="1" applyBorder="1" applyAlignment="1">
      <alignment horizontal="center" vertical="top"/>
    </xf>
    <xf numFmtId="9" fontId="10" fillId="0" borderId="9" xfId="0" applyNumberFormat="1" applyFont="1" applyBorder="1" applyAlignment="1">
      <alignment horizontal="center" vertical="top"/>
    </xf>
    <xf numFmtId="0" fontId="59" fillId="0" borderId="10" xfId="0" applyFont="1" applyBorder="1"/>
    <xf numFmtId="169" fontId="4" fillId="0" borderId="14" xfId="0" applyNumberFormat="1" applyFont="1" applyBorder="1" applyAlignment="1">
      <alignment horizontal="center" vertical="top"/>
    </xf>
    <xf numFmtId="44" fontId="0" fillId="0" borderId="8" xfId="1" applyFont="1" applyBorder="1"/>
    <xf numFmtId="44" fontId="0" fillId="0" borderId="9" xfId="1" applyFont="1" applyBorder="1"/>
    <xf numFmtId="0" fontId="3" fillId="2" borderId="10" xfId="0" applyFont="1" applyFill="1" applyBorder="1" applyAlignment="1">
      <alignment horizontal="center" vertical="top"/>
    </xf>
    <xf numFmtId="0" fontId="66" fillId="31" borderId="13" xfId="0" applyFont="1" applyFill="1" applyBorder="1" applyAlignment="1">
      <alignment horizontal="center"/>
    </xf>
    <xf numFmtId="0" fontId="66" fillId="31" borderId="30" xfId="0" applyFont="1" applyFill="1" applyBorder="1" applyAlignment="1">
      <alignment horizontal="center"/>
    </xf>
    <xf numFmtId="0" fontId="0" fillId="0" borderId="31" xfId="0" applyBorder="1"/>
    <xf numFmtId="0" fontId="0" fillId="0" borderId="32" xfId="0" applyBorder="1"/>
    <xf numFmtId="44" fontId="0" fillId="0" borderId="14" xfId="1" applyFont="1" applyBorder="1"/>
    <xf numFmtId="9" fontId="45" fillId="0" borderId="0" xfId="2" applyFont="1" applyFill="1" applyBorder="1"/>
    <xf numFmtId="44" fontId="45" fillId="0" borderId="0" xfId="0" applyNumberFormat="1" applyFont="1"/>
    <xf numFmtId="9" fontId="62" fillId="0" borderId="0" xfId="2" applyFont="1" applyFill="1" applyBorder="1"/>
    <xf numFmtId="44" fontId="62" fillId="0" borderId="0" xfId="0" applyNumberFormat="1" applyFont="1"/>
    <xf numFmtId="0" fontId="101" fillId="36" borderId="8" xfId="0" applyFont="1" applyFill="1" applyBorder="1" applyAlignment="1">
      <alignment horizontal="center" vertical="center"/>
    </xf>
    <xf numFmtId="0" fontId="102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10" fillId="0" borderId="0" xfId="2" applyFont="1" applyFill="1" applyBorder="1"/>
    <xf numFmtId="164" fontId="23" fillId="0" borderId="12" xfId="0" applyNumberFormat="1" applyFont="1" applyBorder="1"/>
    <xf numFmtId="9" fontId="103" fillId="0" borderId="0" xfId="2" applyFont="1"/>
    <xf numFmtId="9" fontId="104" fillId="0" borderId="0" xfId="2" applyFont="1"/>
    <xf numFmtId="0" fontId="68" fillId="0" borderId="8" xfId="9" applyFont="1" applyBorder="1" applyAlignment="1">
      <alignment horizontal="center" vertical="center" wrapText="1"/>
    </xf>
    <xf numFmtId="0" fontId="68" fillId="0" borderId="9" xfId="9" applyFont="1" applyBorder="1" applyAlignment="1">
      <alignment horizontal="center" vertical="center"/>
    </xf>
    <xf numFmtId="0" fontId="68" fillId="0" borderId="10" xfId="9" applyFont="1" applyBorder="1" applyAlignment="1">
      <alignment horizontal="center" vertical="center"/>
    </xf>
    <xf numFmtId="0" fontId="68" fillId="0" borderId="11" xfId="9" applyFont="1" applyBorder="1" applyAlignment="1">
      <alignment horizontal="center" vertical="center"/>
    </xf>
    <xf numFmtId="0" fontId="68" fillId="0" borderId="0" xfId="9" applyFont="1" applyAlignment="1">
      <alignment horizontal="center" vertical="center"/>
    </xf>
    <xf numFmtId="0" fontId="68" fillId="0" borderId="12" xfId="9" applyFont="1" applyBorder="1" applyAlignment="1">
      <alignment horizontal="center" vertical="center"/>
    </xf>
    <xf numFmtId="0" fontId="68" fillId="0" borderId="13" xfId="9" applyFont="1" applyBorder="1" applyAlignment="1">
      <alignment horizontal="center" vertical="center"/>
    </xf>
    <xf numFmtId="0" fontId="68" fillId="0" borderId="14" xfId="9" applyFont="1" applyBorder="1" applyAlignment="1">
      <alignment horizontal="center" vertical="center"/>
    </xf>
    <xf numFmtId="0" fontId="68" fillId="0" borderId="15" xfId="9" applyFont="1" applyBorder="1" applyAlignment="1">
      <alignment horizontal="center" vertical="center"/>
    </xf>
    <xf numFmtId="0" fontId="71" fillId="31" borderId="16" xfId="9" applyFont="1" applyFill="1" applyBorder="1" applyAlignment="1">
      <alignment horizontal="center" vertical="center" wrapText="1"/>
    </xf>
    <xf numFmtId="0" fontId="71" fillId="31" borderId="17" xfId="9" applyFont="1" applyFill="1" applyBorder="1" applyAlignment="1">
      <alignment horizontal="center" vertical="center" wrapText="1"/>
    </xf>
    <xf numFmtId="0" fontId="71" fillId="31" borderId="18" xfId="9" applyFont="1" applyFill="1" applyBorder="1" applyAlignment="1">
      <alignment horizontal="center" vertical="center" wrapText="1"/>
    </xf>
    <xf numFmtId="0" fontId="71" fillId="25" borderId="19" xfId="9" applyFont="1" applyFill="1" applyBorder="1" applyAlignment="1">
      <alignment horizontal="center" vertical="center" wrapText="1"/>
    </xf>
    <xf numFmtId="0" fontId="71" fillId="25" borderId="20" xfId="9" applyFont="1" applyFill="1" applyBorder="1" applyAlignment="1">
      <alignment horizontal="center" vertical="center" wrapText="1"/>
    </xf>
    <xf numFmtId="0" fontId="71" fillId="25" borderId="21" xfId="9" applyFont="1" applyFill="1" applyBorder="1" applyAlignment="1">
      <alignment horizontal="center" vertical="center" wrapText="1"/>
    </xf>
    <xf numFmtId="0" fontId="0" fillId="37" borderId="20" xfId="9" applyFont="1" applyFill="1" applyBorder="1" applyAlignment="1">
      <alignment horizontal="center" vertical="center"/>
    </xf>
    <xf numFmtId="0" fontId="72" fillId="31" borderId="20" xfId="9" applyFont="1" applyFill="1" applyBorder="1" applyAlignment="1">
      <alignment horizontal="center" vertical="center"/>
    </xf>
    <xf numFmtId="0" fontId="73" fillId="0" borderId="21" xfId="9" applyFont="1" applyBorder="1" applyAlignment="1">
      <alignment horizontal="left" vertical="center" wrapText="1"/>
    </xf>
    <xf numFmtId="0" fontId="73" fillId="0" borderId="22" xfId="9" applyFont="1" applyBorder="1" applyAlignment="1">
      <alignment horizontal="left" vertical="center"/>
    </xf>
    <xf numFmtId="0" fontId="78" fillId="31" borderId="20" xfId="9" applyFont="1" applyFill="1" applyBorder="1" applyAlignment="1">
      <alignment horizontal="center" vertical="center"/>
    </xf>
    <xf numFmtId="0" fontId="79" fillId="0" borderId="20" xfId="9" applyFont="1" applyBorder="1" applyAlignment="1">
      <alignment horizontal="center" vertical="center" wrapText="1"/>
    </xf>
    <xf numFmtId="0" fontId="80" fillId="0" borderId="20" xfId="9" applyFont="1" applyBorder="1" applyAlignment="1">
      <alignment horizontal="center" vertical="center" wrapText="1"/>
    </xf>
    <xf numFmtId="0" fontId="71" fillId="31" borderId="19" xfId="9" applyFont="1" applyFill="1" applyBorder="1" applyAlignment="1">
      <alignment horizontal="center" vertical="center" wrapText="1"/>
    </xf>
    <xf numFmtId="0" fontId="71" fillId="31" borderId="20" xfId="9" applyFont="1" applyFill="1" applyBorder="1" applyAlignment="1">
      <alignment horizontal="center" vertical="center" wrapText="1"/>
    </xf>
    <xf numFmtId="0" fontId="71" fillId="31" borderId="24" xfId="9" applyFont="1" applyFill="1" applyBorder="1" applyAlignment="1">
      <alignment horizontal="center" vertical="center" wrapText="1"/>
    </xf>
    <xf numFmtId="0" fontId="82" fillId="38" borderId="19" xfId="9" applyFont="1" applyFill="1" applyBorder="1" applyAlignment="1">
      <alignment horizontal="center" vertical="center" wrapText="1"/>
    </xf>
    <xf numFmtId="0" fontId="82" fillId="38" borderId="20" xfId="9" applyFont="1" applyFill="1" applyBorder="1" applyAlignment="1">
      <alignment horizontal="center" vertical="center" wrapText="1"/>
    </xf>
    <xf numFmtId="0" fontId="83" fillId="38" borderId="20" xfId="9" applyFont="1" applyFill="1" applyBorder="1" applyAlignment="1" applyProtection="1">
      <alignment horizontal="center" vertical="center" wrapText="1"/>
      <protection locked="0"/>
    </xf>
    <xf numFmtId="0" fontId="83" fillId="38" borderId="24" xfId="9" applyFont="1" applyFill="1" applyBorder="1" applyAlignment="1" applyProtection="1">
      <alignment horizontal="center" vertical="center" wrapText="1"/>
      <protection locked="0"/>
    </xf>
    <xf numFmtId="0" fontId="74" fillId="0" borderId="21" xfId="9" applyFont="1" applyBorder="1" applyAlignment="1">
      <alignment horizontal="left" vertical="center" wrapText="1"/>
    </xf>
    <xf numFmtId="0" fontId="74" fillId="0" borderId="22" xfId="9" applyFont="1" applyBorder="1" applyAlignment="1">
      <alignment horizontal="left" vertical="center"/>
    </xf>
    <xf numFmtId="0" fontId="75" fillId="31" borderId="20" xfId="9" applyFont="1" applyFill="1" applyBorder="1" applyAlignment="1">
      <alignment horizontal="center" vertical="center" wrapText="1"/>
    </xf>
    <xf numFmtId="0" fontId="76" fillId="0" borderId="21" xfId="9" applyFont="1" applyBorder="1" applyAlignment="1">
      <alignment horizontal="left" vertical="center" wrapText="1"/>
    </xf>
    <xf numFmtId="0" fontId="76" fillId="0" borderId="22" xfId="9" applyFont="1" applyBorder="1" applyAlignment="1">
      <alignment horizontal="left" vertical="center"/>
    </xf>
    <xf numFmtId="0" fontId="75" fillId="31" borderId="20" xfId="9" applyFont="1" applyFill="1" applyBorder="1" applyAlignment="1">
      <alignment horizontal="center" vertical="center"/>
    </xf>
    <xf numFmtId="0" fontId="77" fillId="0" borderId="21" xfId="9" applyFont="1" applyBorder="1" applyAlignment="1">
      <alignment horizontal="left" vertical="center" wrapText="1"/>
    </xf>
    <xf numFmtId="0" fontId="73" fillId="0" borderId="23" xfId="9" applyFont="1" applyBorder="1" applyAlignment="1">
      <alignment horizontal="left" vertical="center"/>
    </xf>
    <xf numFmtId="0" fontId="75" fillId="31" borderId="19" xfId="9" applyFont="1" applyFill="1" applyBorder="1" applyAlignment="1">
      <alignment horizontal="center" vertical="center"/>
    </xf>
    <xf numFmtId="0" fontId="85" fillId="0" borderId="20" xfId="9" applyFont="1" applyBorder="1" applyAlignment="1">
      <alignment horizontal="center" vertical="center" wrapText="1"/>
    </xf>
    <xf numFmtId="0" fontId="85" fillId="0" borderId="24" xfId="9" applyFont="1" applyBorder="1" applyAlignment="1">
      <alignment horizontal="center" vertical="center" wrapText="1"/>
    </xf>
    <xf numFmtId="0" fontId="85" fillId="0" borderId="21" xfId="9" applyFont="1" applyBorder="1" applyAlignment="1">
      <alignment horizontal="center" vertical="center" wrapText="1"/>
    </xf>
    <xf numFmtId="0" fontId="85" fillId="0" borderId="22" xfId="9" applyFont="1" applyBorder="1" applyAlignment="1">
      <alignment horizontal="center" vertical="center" wrapText="1"/>
    </xf>
    <xf numFmtId="0" fontId="85" fillId="0" borderId="23" xfId="9" applyFont="1" applyBorder="1" applyAlignment="1">
      <alignment horizontal="center" vertical="center" wrapText="1"/>
    </xf>
    <xf numFmtId="0" fontId="89" fillId="25" borderId="19" xfId="9" applyFont="1" applyFill="1" applyBorder="1" applyAlignment="1">
      <alignment horizontal="center" vertical="center" wrapText="1"/>
    </xf>
    <xf numFmtId="0" fontId="89" fillId="25" borderId="20" xfId="9" applyFont="1" applyFill="1" applyBorder="1" applyAlignment="1">
      <alignment horizontal="center" vertical="center" wrapText="1"/>
    </xf>
    <xf numFmtId="0" fontId="75" fillId="25" borderId="20" xfId="9" applyFont="1" applyFill="1" applyBorder="1" applyAlignment="1">
      <alignment horizontal="center" vertical="center" wrapText="1"/>
    </xf>
    <xf numFmtId="0" fontId="75" fillId="25" borderId="24" xfId="9" applyFont="1" applyFill="1" applyBorder="1" applyAlignment="1">
      <alignment horizontal="center" vertical="center" wrapText="1"/>
    </xf>
    <xf numFmtId="0" fontId="90" fillId="0" borderId="19" xfId="9" applyFont="1" applyBorder="1" applyAlignment="1">
      <alignment horizontal="center" vertical="center"/>
    </xf>
    <xf numFmtId="0" fontId="90" fillId="0" borderId="20" xfId="9" applyFont="1" applyBorder="1" applyAlignment="1">
      <alignment horizontal="center" vertical="center"/>
    </xf>
    <xf numFmtId="0" fontId="90" fillId="0" borderId="20" xfId="9" applyFont="1" applyBorder="1" applyAlignment="1">
      <alignment horizontal="center" vertical="center" wrapText="1"/>
    </xf>
    <xf numFmtId="0" fontId="90" fillId="0" borderId="24" xfId="9" applyFont="1" applyBorder="1" applyAlignment="1">
      <alignment horizontal="center" vertical="center" wrapText="1"/>
    </xf>
    <xf numFmtId="0" fontId="89" fillId="25" borderId="25" xfId="9" applyFont="1" applyFill="1" applyBorder="1" applyAlignment="1">
      <alignment horizontal="center" vertical="center" wrapText="1"/>
    </xf>
    <xf numFmtId="0" fontId="89" fillId="25" borderId="22" xfId="9" applyFont="1" applyFill="1" applyBorder="1" applyAlignment="1">
      <alignment horizontal="center" vertical="center" wrapText="1"/>
    </xf>
    <xf numFmtId="0" fontId="89" fillId="25" borderId="23" xfId="9" applyFont="1" applyFill="1" applyBorder="1" applyAlignment="1">
      <alignment horizontal="center" vertical="center" wrapText="1"/>
    </xf>
    <xf numFmtId="0" fontId="75" fillId="25" borderId="21" xfId="9" applyFont="1" applyFill="1" applyBorder="1" applyAlignment="1">
      <alignment horizontal="center" vertical="center" wrapText="1"/>
    </xf>
    <xf numFmtId="0" fontId="75" fillId="25" borderId="22" xfId="9" applyFont="1" applyFill="1" applyBorder="1" applyAlignment="1">
      <alignment horizontal="center" vertical="center" wrapText="1"/>
    </xf>
    <xf numFmtId="0" fontId="75" fillId="25" borderId="23" xfId="9" applyFont="1" applyFill="1" applyBorder="1" applyAlignment="1">
      <alignment horizontal="center" vertical="center" wrapText="1"/>
    </xf>
    <xf numFmtId="0" fontId="75" fillId="25" borderId="21" xfId="9" applyFont="1" applyFill="1" applyBorder="1" applyAlignment="1" applyProtection="1">
      <alignment horizontal="center" vertical="center" wrapText="1"/>
      <protection locked="0"/>
    </xf>
    <xf numFmtId="0" fontId="75" fillId="25" borderId="22" xfId="9" applyFont="1" applyFill="1" applyBorder="1" applyAlignment="1" applyProtection="1">
      <alignment horizontal="center" vertical="center" wrapText="1"/>
      <protection locked="0"/>
    </xf>
    <xf numFmtId="0" fontId="75" fillId="25" borderId="26" xfId="9" applyFont="1" applyFill="1" applyBorder="1" applyAlignment="1" applyProtection="1">
      <alignment horizontal="center" vertical="center" wrapText="1"/>
      <protection locked="0"/>
    </xf>
    <xf numFmtId="0" fontId="89" fillId="25" borderId="19" xfId="9" applyFont="1" applyFill="1" applyBorder="1" applyAlignment="1" applyProtection="1">
      <alignment horizontal="center" vertical="center" wrapText="1"/>
      <protection locked="0"/>
    </xf>
    <xf numFmtId="0" fontId="89" fillId="25" borderId="20" xfId="9" applyFont="1" applyFill="1" applyBorder="1" applyAlignment="1" applyProtection="1">
      <alignment horizontal="center" vertical="center" wrapText="1"/>
      <protection locked="0"/>
    </xf>
    <xf numFmtId="0" fontId="75" fillId="25" borderId="20" xfId="9" applyFont="1" applyFill="1" applyBorder="1" applyAlignment="1" applyProtection="1">
      <alignment horizontal="center" vertical="center" wrapText="1"/>
      <protection locked="0"/>
    </xf>
    <xf numFmtId="0" fontId="75" fillId="25" borderId="24" xfId="9" applyFont="1" applyFill="1" applyBorder="1" applyAlignment="1" applyProtection="1">
      <alignment horizontal="center" vertical="center" wrapText="1"/>
      <protection locked="0"/>
    </xf>
    <xf numFmtId="0" fontId="67" fillId="0" borderId="20" xfId="9" applyFont="1" applyBorder="1" applyAlignment="1">
      <alignment horizontal="center" vertical="center" wrapText="1"/>
    </xf>
    <xf numFmtId="14" fontId="67" fillId="0" borderId="20" xfId="9" applyNumberFormat="1" applyFont="1" applyBorder="1" applyAlignment="1">
      <alignment horizontal="center" vertical="center" wrapText="1"/>
    </xf>
    <xf numFmtId="0" fontId="67" fillId="0" borderId="20" xfId="9" applyFont="1" applyBorder="1" applyAlignment="1">
      <alignment horizontal="center" vertical="center"/>
    </xf>
    <xf numFmtId="0" fontId="67" fillId="0" borderId="24" xfId="9" applyFont="1" applyBorder="1" applyAlignment="1">
      <alignment horizontal="center" vertical="center"/>
    </xf>
    <xf numFmtId="0" fontId="92" fillId="0" borderId="20" xfId="9" applyFont="1" applyBorder="1" applyAlignment="1">
      <alignment horizontal="center" vertical="center" wrapText="1"/>
    </xf>
    <xf numFmtId="0" fontId="91" fillId="31" borderId="20" xfId="9" applyFont="1" applyFill="1" applyBorder="1" applyAlignment="1">
      <alignment horizontal="center" vertical="center" wrapText="1"/>
    </xf>
    <xf numFmtId="0" fontId="91" fillId="31" borderId="24" xfId="9" applyFont="1" applyFill="1" applyBorder="1" applyAlignment="1">
      <alignment horizontal="center" vertical="center" wrapText="1"/>
    </xf>
    <xf numFmtId="0" fontId="89" fillId="25" borderId="19" xfId="9" applyFont="1" applyFill="1" applyBorder="1" applyAlignment="1">
      <alignment horizontal="center" vertical="center"/>
    </xf>
    <xf numFmtId="0" fontId="89" fillId="25" borderId="20" xfId="9" applyFont="1" applyFill="1" applyBorder="1" applyAlignment="1">
      <alignment horizontal="center" vertical="center"/>
    </xf>
    <xf numFmtId="0" fontId="75" fillId="25" borderId="20" xfId="9" applyFont="1" applyFill="1" applyBorder="1" applyAlignment="1">
      <alignment horizontal="center" vertical="center"/>
    </xf>
    <xf numFmtId="0" fontId="75" fillId="25" borderId="24" xfId="9" applyFont="1" applyFill="1" applyBorder="1" applyAlignment="1">
      <alignment horizontal="center" vertical="center"/>
    </xf>
    <xf numFmtId="0" fontId="92" fillId="0" borderId="25" xfId="9" applyFont="1" applyBorder="1" applyAlignment="1">
      <alignment horizontal="left" vertical="center" wrapText="1"/>
    </xf>
    <xf numFmtId="0" fontId="92" fillId="0" borderId="22" xfId="9" applyFont="1" applyBorder="1" applyAlignment="1">
      <alignment horizontal="left" vertical="center" wrapText="1"/>
    </xf>
    <xf numFmtId="0" fontId="92" fillId="0" borderId="23" xfId="9" applyFont="1" applyBorder="1" applyAlignment="1">
      <alignment horizontal="left" vertical="center" wrapText="1"/>
    </xf>
    <xf numFmtId="0" fontId="92" fillId="0" borderId="24" xfId="9" applyFont="1" applyBorder="1" applyAlignment="1">
      <alignment horizontal="center" vertical="center" wrapText="1"/>
    </xf>
    <xf numFmtId="0" fontId="91" fillId="31" borderId="19" xfId="9" applyFont="1" applyFill="1" applyBorder="1" applyAlignment="1">
      <alignment horizontal="center" vertical="center" wrapText="1"/>
    </xf>
    <xf numFmtId="0" fontId="89" fillId="25" borderId="19" xfId="9" applyFont="1" applyFill="1" applyBorder="1" applyAlignment="1" applyProtection="1">
      <alignment horizontal="left" vertical="center" wrapText="1"/>
      <protection locked="0"/>
    </xf>
    <xf numFmtId="0" fontId="89" fillId="25" borderId="20" xfId="9" applyFont="1" applyFill="1" applyBorder="1" applyAlignment="1" applyProtection="1">
      <alignment horizontal="left" vertical="center" wrapText="1"/>
      <protection locked="0"/>
    </xf>
    <xf numFmtId="0" fontId="90" fillId="0" borderId="19" xfId="9" applyFont="1" applyBorder="1" applyAlignment="1">
      <alignment horizontal="left" vertical="center" wrapText="1"/>
    </xf>
    <xf numFmtId="0" fontId="90" fillId="0" borderId="20" xfId="9" applyFont="1" applyBorder="1" applyAlignment="1">
      <alignment horizontal="left" vertical="center" wrapText="1"/>
    </xf>
    <xf numFmtId="3" fontId="90" fillId="0" borderId="20" xfId="9" applyNumberFormat="1" applyFont="1" applyBorder="1" applyAlignment="1">
      <alignment horizontal="center" vertical="center" wrapText="1"/>
    </xf>
    <xf numFmtId="43" fontId="90" fillId="0" borderId="20" xfId="8" applyFont="1" applyBorder="1" applyAlignment="1">
      <alignment horizontal="center" vertical="center" wrapText="1"/>
    </xf>
    <xf numFmtId="14" fontId="90" fillId="0" borderId="20" xfId="8" quotePrefix="1" applyNumberFormat="1" applyFont="1" applyBorder="1" applyAlignment="1">
      <alignment horizontal="center" vertical="center"/>
    </xf>
    <xf numFmtId="14" fontId="90" fillId="0" borderId="24" xfId="8" quotePrefix="1" applyNumberFormat="1" applyFont="1" applyBorder="1" applyAlignment="1">
      <alignment horizontal="center" vertical="center"/>
    </xf>
    <xf numFmtId="0" fontId="94" fillId="25" borderId="20" xfId="9" applyFont="1" applyFill="1" applyBorder="1" applyAlignment="1">
      <alignment horizontal="center" vertical="center" wrapText="1"/>
    </xf>
    <xf numFmtId="0" fontId="94" fillId="25" borderId="24" xfId="9" applyFont="1" applyFill="1" applyBorder="1" applyAlignment="1">
      <alignment horizontal="center" vertical="center" wrapText="1"/>
    </xf>
    <xf numFmtId="0" fontId="96" fillId="0" borderId="27" xfId="9" applyFont="1" applyBorder="1" applyAlignment="1">
      <alignment horizontal="left" vertical="center" wrapText="1"/>
    </xf>
    <xf numFmtId="0" fontId="96" fillId="0" borderId="28" xfId="9" applyFont="1" applyBorder="1" applyAlignment="1">
      <alignment horizontal="left" vertical="center" wrapText="1"/>
    </xf>
    <xf numFmtId="0" fontId="67" fillId="0" borderId="28" xfId="9" applyFont="1" applyBorder="1" applyAlignment="1">
      <alignment horizontal="center" vertical="center" wrapText="1"/>
    </xf>
    <xf numFmtId="0" fontId="67" fillId="0" borderId="29" xfId="9" applyFont="1" applyBorder="1" applyAlignment="1">
      <alignment horizontal="center" vertical="center" wrapText="1"/>
    </xf>
    <xf numFmtId="0" fontId="67" fillId="0" borderId="19" xfId="9" applyFont="1" applyBorder="1" applyAlignment="1">
      <alignment horizontal="left" vertical="center" wrapText="1"/>
    </xf>
    <xf numFmtId="0" fontId="67" fillId="0" borderId="20" xfId="9" applyFont="1" applyBorder="1" applyAlignment="1">
      <alignment horizontal="left" vertical="center" wrapText="1"/>
    </xf>
    <xf numFmtId="44" fontId="93" fillId="0" borderId="20" xfId="4" applyFont="1" applyBorder="1" applyAlignment="1">
      <alignment horizontal="center" vertical="center" wrapText="1"/>
    </xf>
    <xf numFmtId="43" fontId="67" fillId="0" borderId="20" xfId="8" applyFont="1" applyBorder="1" applyAlignment="1">
      <alignment horizontal="center" vertical="center" wrapText="1"/>
    </xf>
    <xf numFmtId="43" fontId="67" fillId="0" borderId="20" xfId="8" quotePrefix="1" applyFont="1" applyBorder="1" applyAlignment="1">
      <alignment horizontal="center" vertical="center" wrapText="1"/>
    </xf>
    <xf numFmtId="43" fontId="67" fillId="0" borderId="20" xfId="8" quotePrefix="1" applyFont="1" applyBorder="1" applyAlignment="1">
      <alignment horizontal="center" vertical="center"/>
    </xf>
    <xf numFmtId="43" fontId="67" fillId="0" borderId="24" xfId="8" quotePrefix="1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30" borderId="0" xfId="1" applyFont="1" applyFill="1" applyBorder="1" applyAlignment="1">
      <alignment horizontal="center" vertical="center"/>
    </xf>
  </cellXfs>
  <cellStyles count="10">
    <cellStyle name="Moeda" xfId="1" builtinId="4"/>
    <cellStyle name="Moeda 2" xfId="4" xr:uid="{748B7DE1-19AE-4122-A305-0BBD3D994F9D}"/>
    <cellStyle name="Moeda 3" xfId="3" xr:uid="{EE37B9F5-7AAB-42CB-A6B6-7AF93539B406}"/>
    <cellStyle name="Normal" xfId="0" builtinId="0"/>
    <cellStyle name="Normal 2" xfId="5" xr:uid="{DC81EF92-A21C-4953-B37C-8A44503548D6}"/>
    <cellStyle name="Normal_Planos de Acao" xfId="9" xr:uid="{558DE5D1-F6EB-46B2-8447-CE72FF9DC576}"/>
    <cellStyle name="Porcentagem" xfId="2" builtinId="5"/>
    <cellStyle name="Porcentagem 2" xfId="6" xr:uid="{24B2F8A8-FB9E-4D82-A1C9-F9ECE921244F}"/>
    <cellStyle name="Vírgula" xfId="8" builtinId="3"/>
    <cellStyle name="Vírgula 2" xfId="7" xr:uid="{A30A0154-6F8A-4750-8E1F-86A1B3333F5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314324</xdr:colOff>
      <xdr:row>1</xdr:row>
      <xdr:rowOff>133351</xdr:rowOff>
    </xdr:from>
    <xdr:to>
      <xdr:col>2</xdr:col>
      <xdr:colOff>1114425</xdr:colOff>
      <xdr:row>3</xdr:row>
      <xdr:rowOff>521919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9D70BADB-FA2F-47B7-87C2-60FC115C3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399" y="390526"/>
          <a:ext cx="1247776" cy="998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BA47A-FFDE-4DDE-B000-4168CFD0E1A5}">
  <dimension ref="B1:T112"/>
  <sheetViews>
    <sheetView tabSelected="1" zoomScale="70" zoomScaleNormal="70" workbookViewId="0">
      <selection sqref="A1:XFD1048576"/>
    </sheetView>
  </sheetViews>
  <sheetFormatPr defaultRowHeight="14.25" x14ac:dyDescent="0.2"/>
  <cols>
    <col min="1" max="1" width="3.28515625" style="409" customWidth="1"/>
    <col min="2" max="2" width="6.7109375" style="434" customWidth="1"/>
    <col min="3" max="3" width="16.85546875" style="434" customWidth="1"/>
    <col min="4" max="4" width="74.7109375" style="434" bestFit="1" customWidth="1"/>
    <col min="5" max="5" width="13" style="435" customWidth="1"/>
    <col min="6" max="6" width="0.42578125" style="435" customWidth="1"/>
    <col min="7" max="7" width="11" style="434" customWidth="1"/>
    <col min="8" max="8" width="11.42578125" style="434" customWidth="1"/>
    <col min="9" max="10" width="9.7109375" style="433" customWidth="1"/>
    <col min="11" max="11" width="18.140625" style="434" customWidth="1"/>
    <col min="12" max="12" width="12.7109375" style="434" customWidth="1"/>
    <col min="13" max="13" width="22.140625" style="434" customWidth="1"/>
    <col min="14" max="14" width="11.140625" style="408" customWidth="1"/>
    <col min="15" max="15" width="9.140625" style="408"/>
    <col min="16" max="16" width="13.28515625" style="408" bestFit="1" customWidth="1"/>
    <col min="17" max="17" width="9.5703125" style="408" bestFit="1" customWidth="1"/>
    <col min="18" max="20" width="9.140625" style="408"/>
    <col min="21" max="256" width="9.140625" style="409"/>
    <col min="257" max="257" width="3.28515625" style="409" customWidth="1"/>
    <col min="258" max="258" width="6.7109375" style="409" customWidth="1"/>
    <col min="259" max="259" width="16.85546875" style="409" customWidth="1"/>
    <col min="260" max="260" width="71.7109375" style="409" customWidth="1"/>
    <col min="261" max="261" width="13" style="409" customWidth="1"/>
    <col min="262" max="262" width="0.42578125" style="409" customWidth="1"/>
    <col min="263" max="263" width="11" style="409" customWidth="1"/>
    <col min="264" max="264" width="11.42578125" style="409" customWidth="1"/>
    <col min="265" max="266" width="9.7109375" style="409" customWidth="1"/>
    <col min="267" max="267" width="18.140625" style="409" customWidth="1"/>
    <col min="268" max="268" width="12.7109375" style="409" customWidth="1"/>
    <col min="269" max="269" width="22.140625" style="409" customWidth="1"/>
    <col min="270" max="270" width="11.140625" style="409" customWidth="1"/>
    <col min="271" max="271" width="9.140625" style="409"/>
    <col min="272" max="272" width="13.28515625" style="409" bestFit="1" customWidth="1"/>
    <col min="273" max="273" width="9.5703125" style="409" bestFit="1" customWidth="1"/>
    <col min="274" max="512" width="9.140625" style="409"/>
    <col min="513" max="513" width="3.28515625" style="409" customWidth="1"/>
    <col min="514" max="514" width="6.7109375" style="409" customWidth="1"/>
    <col min="515" max="515" width="16.85546875" style="409" customWidth="1"/>
    <col min="516" max="516" width="71.7109375" style="409" customWidth="1"/>
    <col min="517" max="517" width="13" style="409" customWidth="1"/>
    <col min="518" max="518" width="0.42578125" style="409" customWidth="1"/>
    <col min="519" max="519" width="11" style="409" customWidth="1"/>
    <col min="520" max="520" width="11.42578125" style="409" customWidth="1"/>
    <col min="521" max="522" width="9.7109375" style="409" customWidth="1"/>
    <col min="523" max="523" width="18.140625" style="409" customWidth="1"/>
    <col min="524" max="524" width="12.7109375" style="409" customWidth="1"/>
    <col min="525" max="525" width="22.140625" style="409" customWidth="1"/>
    <col min="526" max="526" width="11.140625" style="409" customWidth="1"/>
    <col min="527" max="527" width="9.140625" style="409"/>
    <col min="528" max="528" width="13.28515625" style="409" bestFit="1" customWidth="1"/>
    <col min="529" max="529" width="9.5703125" style="409" bestFit="1" customWidth="1"/>
    <col min="530" max="768" width="9.140625" style="409"/>
    <col min="769" max="769" width="3.28515625" style="409" customWidth="1"/>
    <col min="770" max="770" width="6.7109375" style="409" customWidth="1"/>
    <col min="771" max="771" width="16.85546875" style="409" customWidth="1"/>
    <col min="772" max="772" width="71.7109375" style="409" customWidth="1"/>
    <col min="773" max="773" width="13" style="409" customWidth="1"/>
    <col min="774" max="774" width="0.42578125" style="409" customWidth="1"/>
    <col min="775" max="775" width="11" style="409" customWidth="1"/>
    <col min="776" max="776" width="11.42578125" style="409" customWidth="1"/>
    <col min="777" max="778" width="9.7109375" style="409" customWidth="1"/>
    <col min="779" max="779" width="18.140625" style="409" customWidth="1"/>
    <col min="780" max="780" width="12.7109375" style="409" customWidth="1"/>
    <col min="781" max="781" width="22.140625" style="409" customWidth="1"/>
    <col min="782" max="782" width="11.140625" style="409" customWidth="1"/>
    <col min="783" max="783" width="9.140625" style="409"/>
    <col min="784" max="784" width="13.28515625" style="409" bestFit="1" customWidth="1"/>
    <col min="785" max="785" width="9.5703125" style="409" bestFit="1" customWidth="1"/>
    <col min="786" max="1024" width="9.140625" style="409"/>
    <col min="1025" max="1025" width="3.28515625" style="409" customWidth="1"/>
    <col min="1026" max="1026" width="6.7109375" style="409" customWidth="1"/>
    <col min="1027" max="1027" width="16.85546875" style="409" customWidth="1"/>
    <col min="1028" max="1028" width="71.7109375" style="409" customWidth="1"/>
    <col min="1029" max="1029" width="13" style="409" customWidth="1"/>
    <col min="1030" max="1030" width="0.42578125" style="409" customWidth="1"/>
    <col min="1031" max="1031" width="11" style="409" customWidth="1"/>
    <col min="1032" max="1032" width="11.42578125" style="409" customWidth="1"/>
    <col min="1033" max="1034" width="9.7109375" style="409" customWidth="1"/>
    <col min="1035" max="1035" width="18.140625" style="409" customWidth="1"/>
    <col min="1036" max="1036" width="12.7109375" style="409" customWidth="1"/>
    <col min="1037" max="1037" width="22.140625" style="409" customWidth="1"/>
    <col min="1038" max="1038" width="11.140625" style="409" customWidth="1"/>
    <col min="1039" max="1039" width="9.140625" style="409"/>
    <col min="1040" max="1040" width="13.28515625" style="409" bestFit="1" customWidth="1"/>
    <col min="1041" max="1041" width="9.5703125" style="409" bestFit="1" customWidth="1"/>
    <col min="1042" max="1280" width="9.140625" style="409"/>
    <col min="1281" max="1281" width="3.28515625" style="409" customWidth="1"/>
    <col min="1282" max="1282" width="6.7109375" style="409" customWidth="1"/>
    <col min="1283" max="1283" width="16.85546875" style="409" customWidth="1"/>
    <col min="1284" max="1284" width="71.7109375" style="409" customWidth="1"/>
    <col min="1285" max="1285" width="13" style="409" customWidth="1"/>
    <col min="1286" max="1286" width="0.42578125" style="409" customWidth="1"/>
    <col min="1287" max="1287" width="11" style="409" customWidth="1"/>
    <col min="1288" max="1288" width="11.42578125" style="409" customWidth="1"/>
    <col min="1289" max="1290" width="9.7109375" style="409" customWidth="1"/>
    <col min="1291" max="1291" width="18.140625" style="409" customWidth="1"/>
    <col min="1292" max="1292" width="12.7109375" style="409" customWidth="1"/>
    <col min="1293" max="1293" width="22.140625" style="409" customWidth="1"/>
    <col min="1294" max="1294" width="11.140625" style="409" customWidth="1"/>
    <col min="1295" max="1295" width="9.140625" style="409"/>
    <col min="1296" max="1296" width="13.28515625" style="409" bestFit="1" customWidth="1"/>
    <col min="1297" max="1297" width="9.5703125" style="409" bestFit="1" customWidth="1"/>
    <col min="1298" max="1536" width="9.140625" style="409"/>
    <col min="1537" max="1537" width="3.28515625" style="409" customWidth="1"/>
    <col min="1538" max="1538" width="6.7109375" style="409" customWidth="1"/>
    <col min="1539" max="1539" width="16.85546875" style="409" customWidth="1"/>
    <col min="1540" max="1540" width="71.7109375" style="409" customWidth="1"/>
    <col min="1541" max="1541" width="13" style="409" customWidth="1"/>
    <col min="1542" max="1542" width="0.42578125" style="409" customWidth="1"/>
    <col min="1543" max="1543" width="11" style="409" customWidth="1"/>
    <col min="1544" max="1544" width="11.42578125" style="409" customWidth="1"/>
    <col min="1545" max="1546" width="9.7109375" style="409" customWidth="1"/>
    <col min="1547" max="1547" width="18.140625" style="409" customWidth="1"/>
    <col min="1548" max="1548" width="12.7109375" style="409" customWidth="1"/>
    <col min="1549" max="1549" width="22.140625" style="409" customWidth="1"/>
    <col min="1550" max="1550" width="11.140625" style="409" customWidth="1"/>
    <col min="1551" max="1551" width="9.140625" style="409"/>
    <col min="1552" max="1552" width="13.28515625" style="409" bestFit="1" customWidth="1"/>
    <col min="1553" max="1553" width="9.5703125" style="409" bestFit="1" customWidth="1"/>
    <col min="1554" max="1792" width="9.140625" style="409"/>
    <col min="1793" max="1793" width="3.28515625" style="409" customWidth="1"/>
    <col min="1794" max="1794" width="6.7109375" style="409" customWidth="1"/>
    <col min="1795" max="1795" width="16.85546875" style="409" customWidth="1"/>
    <col min="1796" max="1796" width="71.7109375" style="409" customWidth="1"/>
    <col min="1797" max="1797" width="13" style="409" customWidth="1"/>
    <col min="1798" max="1798" width="0.42578125" style="409" customWidth="1"/>
    <col min="1799" max="1799" width="11" style="409" customWidth="1"/>
    <col min="1800" max="1800" width="11.42578125" style="409" customWidth="1"/>
    <col min="1801" max="1802" width="9.7109375" style="409" customWidth="1"/>
    <col min="1803" max="1803" width="18.140625" style="409" customWidth="1"/>
    <col min="1804" max="1804" width="12.7109375" style="409" customWidth="1"/>
    <col min="1805" max="1805" width="22.140625" style="409" customWidth="1"/>
    <col min="1806" max="1806" width="11.140625" style="409" customWidth="1"/>
    <col min="1807" max="1807" width="9.140625" style="409"/>
    <col min="1808" max="1808" width="13.28515625" style="409" bestFit="1" customWidth="1"/>
    <col min="1809" max="1809" width="9.5703125" style="409" bestFit="1" customWidth="1"/>
    <col min="1810" max="2048" width="9.140625" style="409"/>
    <col min="2049" max="2049" width="3.28515625" style="409" customWidth="1"/>
    <col min="2050" max="2050" width="6.7109375" style="409" customWidth="1"/>
    <col min="2051" max="2051" width="16.85546875" style="409" customWidth="1"/>
    <col min="2052" max="2052" width="71.7109375" style="409" customWidth="1"/>
    <col min="2053" max="2053" width="13" style="409" customWidth="1"/>
    <col min="2054" max="2054" width="0.42578125" style="409" customWidth="1"/>
    <col min="2055" max="2055" width="11" style="409" customWidth="1"/>
    <col min="2056" max="2056" width="11.42578125" style="409" customWidth="1"/>
    <col min="2057" max="2058" width="9.7109375" style="409" customWidth="1"/>
    <col min="2059" max="2059" width="18.140625" style="409" customWidth="1"/>
    <col min="2060" max="2060" width="12.7109375" style="409" customWidth="1"/>
    <col min="2061" max="2061" width="22.140625" style="409" customWidth="1"/>
    <col min="2062" max="2062" width="11.140625" style="409" customWidth="1"/>
    <col min="2063" max="2063" width="9.140625" style="409"/>
    <col min="2064" max="2064" width="13.28515625" style="409" bestFit="1" customWidth="1"/>
    <col min="2065" max="2065" width="9.5703125" style="409" bestFit="1" customWidth="1"/>
    <col min="2066" max="2304" width="9.140625" style="409"/>
    <col min="2305" max="2305" width="3.28515625" style="409" customWidth="1"/>
    <col min="2306" max="2306" width="6.7109375" style="409" customWidth="1"/>
    <col min="2307" max="2307" width="16.85546875" style="409" customWidth="1"/>
    <col min="2308" max="2308" width="71.7109375" style="409" customWidth="1"/>
    <col min="2309" max="2309" width="13" style="409" customWidth="1"/>
    <col min="2310" max="2310" width="0.42578125" style="409" customWidth="1"/>
    <col min="2311" max="2311" width="11" style="409" customWidth="1"/>
    <col min="2312" max="2312" width="11.42578125" style="409" customWidth="1"/>
    <col min="2313" max="2314" width="9.7109375" style="409" customWidth="1"/>
    <col min="2315" max="2315" width="18.140625" style="409" customWidth="1"/>
    <col min="2316" max="2316" width="12.7109375" style="409" customWidth="1"/>
    <col min="2317" max="2317" width="22.140625" style="409" customWidth="1"/>
    <col min="2318" max="2318" width="11.140625" style="409" customWidth="1"/>
    <col min="2319" max="2319" width="9.140625" style="409"/>
    <col min="2320" max="2320" width="13.28515625" style="409" bestFit="1" customWidth="1"/>
    <col min="2321" max="2321" width="9.5703125" style="409" bestFit="1" customWidth="1"/>
    <col min="2322" max="2560" width="9.140625" style="409"/>
    <col min="2561" max="2561" width="3.28515625" style="409" customWidth="1"/>
    <col min="2562" max="2562" width="6.7109375" style="409" customWidth="1"/>
    <col min="2563" max="2563" width="16.85546875" style="409" customWidth="1"/>
    <col min="2564" max="2564" width="71.7109375" style="409" customWidth="1"/>
    <col min="2565" max="2565" width="13" style="409" customWidth="1"/>
    <col min="2566" max="2566" width="0.42578125" style="409" customWidth="1"/>
    <col min="2567" max="2567" width="11" style="409" customWidth="1"/>
    <col min="2568" max="2568" width="11.42578125" style="409" customWidth="1"/>
    <col min="2569" max="2570" width="9.7109375" style="409" customWidth="1"/>
    <col min="2571" max="2571" width="18.140625" style="409" customWidth="1"/>
    <col min="2572" max="2572" width="12.7109375" style="409" customWidth="1"/>
    <col min="2573" max="2573" width="22.140625" style="409" customWidth="1"/>
    <col min="2574" max="2574" width="11.140625" style="409" customWidth="1"/>
    <col min="2575" max="2575" width="9.140625" style="409"/>
    <col min="2576" max="2576" width="13.28515625" style="409" bestFit="1" customWidth="1"/>
    <col min="2577" max="2577" width="9.5703125" style="409" bestFit="1" customWidth="1"/>
    <col min="2578" max="2816" width="9.140625" style="409"/>
    <col min="2817" max="2817" width="3.28515625" style="409" customWidth="1"/>
    <col min="2818" max="2818" width="6.7109375" style="409" customWidth="1"/>
    <col min="2819" max="2819" width="16.85546875" style="409" customWidth="1"/>
    <col min="2820" max="2820" width="71.7109375" style="409" customWidth="1"/>
    <col min="2821" max="2821" width="13" style="409" customWidth="1"/>
    <col min="2822" max="2822" width="0.42578125" style="409" customWidth="1"/>
    <col min="2823" max="2823" width="11" style="409" customWidth="1"/>
    <col min="2824" max="2824" width="11.42578125" style="409" customWidth="1"/>
    <col min="2825" max="2826" width="9.7109375" style="409" customWidth="1"/>
    <col min="2827" max="2827" width="18.140625" style="409" customWidth="1"/>
    <col min="2828" max="2828" width="12.7109375" style="409" customWidth="1"/>
    <col min="2829" max="2829" width="22.140625" style="409" customWidth="1"/>
    <col min="2830" max="2830" width="11.140625" style="409" customWidth="1"/>
    <col min="2831" max="2831" width="9.140625" style="409"/>
    <col min="2832" max="2832" width="13.28515625" style="409" bestFit="1" customWidth="1"/>
    <col min="2833" max="2833" width="9.5703125" style="409" bestFit="1" customWidth="1"/>
    <col min="2834" max="3072" width="9.140625" style="409"/>
    <col min="3073" max="3073" width="3.28515625" style="409" customWidth="1"/>
    <col min="3074" max="3074" width="6.7109375" style="409" customWidth="1"/>
    <col min="3075" max="3075" width="16.85546875" style="409" customWidth="1"/>
    <col min="3076" max="3076" width="71.7109375" style="409" customWidth="1"/>
    <col min="3077" max="3077" width="13" style="409" customWidth="1"/>
    <col min="3078" max="3078" width="0.42578125" style="409" customWidth="1"/>
    <col min="3079" max="3079" width="11" style="409" customWidth="1"/>
    <col min="3080" max="3080" width="11.42578125" style="409" customWidth="1"/>
    <col min="3081" max="3082" width="9.7109375" style="409" customWidth="1"/>
    <col min="3083" max="3083" width="18.140625" style="409" customWidth="1"/>
    <col min="3084" max="3084" width="12.7109375" style="409" customWidth="1"/>
    <col min="3085" max="3085" width="22.140625" style="409" customWidth="1"/>
    <col min="3086" max="3086" width="11.140625" style="409" customWidth="1"/>
    <col min="3087" max="3087" width="9.140625" style="409"/>
    <col min="3088" max="3088" width="13.28515625" style="409" bestFit="1" customWidth="1"/>
    <col min="3089" max="3089" width="9.5703125" style="409" bestFit="1" customWidth="1"/>
    <col min="3090" max="3328" width="9.140625" style="409"/>
    <col min="3329" max="3329" width="3.28515625" style="409" customWidth="1"/>
    <col min="3330" max="3330" width="6.7109375" style="409" customWidth="1"/>
    <col min="3331" max="3331" width="16.85546875" style="409" customWidth="1"/>
    <col min="3332" max="3332" width="71.7109375" style="409" customWidth="1"/>
    <col min="3333" max="3333" width="13" style="409" customWidth="1"/>
    <col min="3334" max="3334" width="0.42578125" style="409" customWidth="1"/>
    <col min="3335" max="3335" width="11" style="409" customWidth="1"/>
    <col min="3336" max="3336" width="11.42578125" style="409" customWidth="1"/>
    <col min="3337" max="3338" width="9.7109375" style="409" customWidth="1"/>
    <col min="3339" max="3339" width="18.140625" style="409" customWidth="1"/>
    <col min="3340" max="3340" width="12.7109375" style="409" customWidth="1"/>
    <col min="3341" max="3341" width="22.140625" style="409" customWidth="1"/>
    <col min="3342" max="3342" width="11.140625" style="409" customWidth="1"/>
    <col min="3343" max="3343" width="9.140625" style="409"/>
    <col min="3344" max="3344" width="13.28515625" style="409" bestFit="1" customWidth="1"/>
    <col min="3345" max="3345" width="9.5703125" style="409" bestFit="1" customWidth="1"/>
    <col min="3346" max="3584" width="9.140625" style="409"/>
    <col min="3585" max="3585" width="3.28515625" style="409" customWidth="1"/>
    <col min="3586" max="3586" width="6.7109375" style="409" customWidth="1"/>
    <col min="3587" max="3587" width="16.85546875" style="409" customWidth="1"/>
    <col min="3588" max="3588" width="71.7109375" style="409" customWidth="1"/>
    <col min="3589" max="3589" width="13" style="409" customWidth="1"/>
    <col min="3590" max="3590" width="0.42578125" style="409" customWidth="1"/>
    <col min="3591" max="3591" width="11" style="409" customWidth="1"/>
    <col min="3592" max="3592" width="11.42578125" style="409" customWidth="1"/>
    <col min="3593" max="3594" width="9.7109375" style="409" customWidth="1"/>
    <col min="3595" max="3595" width="18.140625" style="409" customWidth="1"/>
    <col min="3596" max="3596" width="12.7109375" style="409" customWidth="1"/>
    <col min="3597" max="3597" width="22.140625" style="409" customWidth="1"/>
    <col min="3598" max="3598" width="11.140625" style="409" customWidth="1"/>
    <col min="3599" max="3599" width="9.140625" style="409"/>
    <col min="3600" max="3600" width="13.28515625" style="409" bestFit="1" customWidth="1"/>
    <col min="3601" max="3601" width="9.5703125" style="409" bestFit="1" customWidth="1"/>
    <col min="3602" max="3840" width="9.140625" style="409"/>
    <col min="3841" max="3841" width="3.28515625" style="409" customWidth="1"/>
    <col min="3842" max="3842" width="6.7109375" style="409" customWidth="1"/>
    <col min="3843" max="3843" width="16.85546875" style="409" customWidth="1"/>
    <col min="3844" max="3844" width="71.7109375" style="409" customWidth="1"/>
    <col min="3845" max="3845" width="13" style="409" customWidth="1"/>
    <col min="3846" max="3846" width="0.42578125" style="409" customWidth="1"/>
    <col min="3847" max="3847" width="11" style="409" customWidth="1"/>
    <col min="3848" max="3848" width="11.42578125" style="409" customWidth="1"/>
    <col min="3849" max="3850" width="9.7109375" style="409" customWidth="1"/>
    <col min="3851" max="3851" width="18.140625" style="409" customWidth="1"/>
    <col min="3852" max="3852" width="12.7109375" style="409" customWidth="1"/>
    <col min="3853" max="3853" width="22.140625" style="409" customWidth="1"/>
    <col min="3854" max="3854" width="11.140625" style="409" customWidth="1"/>
    <col min="3855" max="3855" width="9.140625" style="409"/>
    <col min="3856" max="3856" width="13.28515625" style="409" bestFit="1" customWidth="1"/>
    <col min="3857" max="3857" width="9.5703125" style="409" bestFit="1" customWidth="1"/>
    <col min="3858" max="4096" width="9.140625" style="409"/>
    <col min="4097" max="4097" width="3.28515625" style="409" customWidth="1"/>
    <col min="4098" max="4098" width="6.7109375" style="409" customWidth="1"/>
    <col min="4099" max="4099" width="16.85546875" style="409" customWidth="1"/>
    <col min="4100" max="4100" width="71.7109375" style="409" customWidth="1"/>
    <col min="4101" max="4101" width="13" style="409" customWidth="1"/>
    <col min="4102" max="4102" width="0.42578125" style="409" customWidth="1"/>
    <col min="4103" max="4103" width="11" style="409" customWidth="1"/>
    <col min="4104" max="4104" width="11.42578125" style="409" customWidth="1"/>
    <col min="4105" max="4106" width="9.7109375" style="409" customWidth="1"/>
    <col min="4107" max="4107" width="18.140625" style="409" customWidth="1"/>
    <col min="4108" max="4108" width="12.7109375" style="409" customWidth="1"/>
    <col min="4109" max="4109" width="22.140625" style="409" customWidth="1"/>
    <col min="4110" max="4110" width="11.140625" style="409" customWidth="1"/>
    <col min="4111" max="4111" width="9.140625" style="409"/>
    <col min="4112" max="4112" width="13.28515625" style="409" bestFit="1" customWidth="1"/>
    <col min="4113" max="4113" width="9.5703125" style="409" bestFit="1" customWidth="1"/>
    <col min="4114" max="4352" width="9.140625" style="409"/>
    <col min="4353" max="4353" width="3.28515625" style="409" customWidth="1"/>
    <col min="4354" max="4354" width="6.7109375" style="409" customWidth="1"/>
    <col min="4355" max="4355" width="16.85546875" style="409" customWidth="1"/>
    <col min="4356" max="4356" width="71.7109375" style="409" customWidth="1"/>
    <col min="4357" max="4357" width="13" style="409" customWidth="1"/>
    <col min="4358" max="4358" width="0.42578125" style="409" customWidth="1"/>
    <col min="4359" max="4359" width="11" style="409" customWidth="1"/>
    <col min="4360" max="4360" width="11.42578125" style="409" customWidth="1"/>
    <col min="4361" max="4362" width="9.7109375" style="409" customWidth="1"/>
    <col min="4363" max="4363" width="18.140625" style="409" customWidth="1"/>
    <col min="4364" max="4364" width="12.7109375" style="409" customWidth="1"/>
    <col min="4365" max="4365" width="22.140625" style="409" customWidth="1"/>
    <col min="4366" max="4366" width="11.140625" style="409" customWidth="1"/>
    <col min="4367" max="4367" width="9.140625" style="409"/>
    <col min="4368" max="4368" width="13.28515625" style="409" bestFit="1" customWidth="1"/>
    <col min="4369" max="4369" width="9.5703125" style="409" bestFit="1" customWidth="1"/>
    <col min="4370" max="4608" width="9.140625" style="409"/>
    <col min="4609" max="4609" width="3.28515625" style="409" customWidth="1"/>
    <col min="4610" max="4610" width="6.7109375" style="409" customWidth="1"/>
    <col min="4611" max="4611" width="16.85546875" style="409" customWidth="1"/>
    <col min="4612" max="4612" width="71.7109375" style="409" customWidth="1"/>
    <col min="4613" max="4613" width="13" style="409" customWidth="1"/>
    <col min="4614" max="4614" width="0.42578125" style="409" customWidth="1"/>
    <col min="4615" max="4615" width="11" style="409" customWidth="1"/>
    <col min="4616" max="4616" width="11.42578125" style="409" customWidth="1"/>
    <col min="4617" max="4618" width="9.7109375" style="409" customWidth="1"/>
    <col min="4619" max="4619" width="18.140625" style="409" customWidth="1"/>
    <col min="4620" max="4620" width="12.7109375" style="409" customWidth="1"/>
    <col min="4621" max="4621" width="22.140625" style="409" customWidth="1"/>
    <col min="4622" max="4622" width="11.140625" style="409" customWidth="1"/>
    <col min="4623" max="4623" width="9.140625" style="409"/>
    <col min="4624" max="4624" width="13.28515625" style="409" bestFit="1" customWidth="1"/>
    <col min="4625" max="4625" width="9.5703125" style="409" bestFit="1" customWidth="1"/>
    <col min="4626" max="4864" width="9.140625" style="409"/>
    <col min="4865" max="4865" width="3.28515625" style="409" customWidth="1"/>
    <col min="4866" max="4866" width="6.7109375" style="409" customWidth="1"/>
    <col min="4867" max="4867" width="16.85546875" style="409" customWidth="1"/>
    <col min="4868" max="4868" width="71.7109375" style="409" customWidth="1"/>
    <col min="4869" max="4869" width="13" style="409" customWidth="1"/>
    <col min="4870" max="4870" width="0.42578125" style="409" customWidth="1"/>
    <col min="4871" max="4871" width="11" style="409" customWidth="1"/>
    <col min="4872" max="4872" width="11.42578125" style="409" customWidth="1"/>
    <col min="4873" max="4874" width="9.7109375" style="409" customWidth="1"/>
    <col min="4875" max="4875" width="18.140625" style="409" customWidth="1"/>
    <col min="4876" max="4876" width="12.7109375" style="409" customWidth="1"/>
    <col min="4877" max="4877" width="22.140625" style="409" customWidth="1"/>
    <col min="4878" max="4878" width="11.140625" style="409" customWidth="1"/>
    <col min="4879" max="4879" width="9.140625" style="409"/>
    <col min="4880" max="4880" width="13.28515625" style="409" bestFit="1" customWidth="1"/>
    <col min="4881" max="4881" width="9.5703125" style="409" bestFit="1" customWidth="1"/>
    <col min="4882" max="5120" width="9.140625" style="409"/>
    <col min="5121" max="5121" width="3.28515625" style="409" customWidth="1"/>
    <col min="5122" max="5122" width="6.7109375" style="409" customWidth="1"/>
    <col min="5123" max="5123" width="16.85546875" style="409" customWidth="1"/>
    <col min="5124" max="5124" width="71.7109375" style="409" customWidth="1"/>
    <col min="5125" max="5125" width="13" style="409" customWidth="1"/>
    <col min="5126" max="5126" width="0.42578125" style="409" customWidth="1"/>
    <col min="5127" max="5127" width="11" style="409" customWidth="1"/>
    <col min="5128" max="5128" width="11.42578125" style="409" customWidth="1"/>
    <col min="5129" max="5130" width="9.7109375" style="409" customWidth="1"/>
    <col min="5131" max="5131" width="18.140625" style="409" customWidth="1"/>
    <col min="5132" max="5132" width="12.7109375" style="409" customWidth="1"/>
    <col min="5133" max="5133" width="22.140625" style="409" customWidth="1"/>
    <col min="5134" max="5134" width="11.140625" style="409" customWidth="1"/>
    <col min="5135" max="5135" width="9.140625" style="409"/>
    <col min="5136" max="5136" width="13.28515625" style="409" bestFit="1" customWidth="1"/>
    <col min="5137" max="5137" width="9.5703125" style="409" bestFit="1" customWidth="1"/>
    <col min="5138" max="5376" width="9.140625" style="409"/>
    <col min="5377" max="5377" width="3.28515625" style="409" customWidth="1"/>
    <col min="5378" max="5378" width="6.7109375" style="409" customWidth="1"/>
    <col min="5379" max="5379" width="16.85546875" style="409" customWidth="1"/>
    <col min="5380" max="5380" width="71.7109375" style="409" customWidth="1"/>
    <col min="5381" max="5381" width="13" style="409" customWidth="1"/>
    <col min="5382" max="5382" width="0.42578125" style="409" customWidth="1"/>
    <col min="5383" max="5383" width="11" style="409" customWidth="1"/>
    <col min="5384" max="5384" width="11.42578125" style="409" customWidth="1"/>
    <col min="5385" max="5386" width="9.7109375" style="409" customWidth="1"/>
    <col min="5387" max="5387" width="18.140625" style="409" customWidth="1"/>
    <col min="5388" max="5388" width="12.7109375" style="409" customWidth="1"/>
    <col min="5389" max="5389" width="22.140625" style="409" customWidth="1"/>
    <col min="5390" max="5390" width="11.140625" style="409" customWidth="1"/>
    <col min="5391" max="5391" width="9.140625" style="409"/>
    <col min="5392" max="5392" width="13.28515625" style="409" bestFit="1" customWidth="1"/>
    <col min="5393" max="5393" width="9.5703125" style="409" bestFit="1" customWidth="1"/>
    <col min="5394" max="5632" width="9.140625" style="409"/>
    <col min="5633" max="5633" width="3.28515625" style="409" customWidth="1"/>
    <col min="5634" max="5634" width="6.7109375" style="409" customWidth="1"/>
    <col min="5635" max="5635" width="16.85546875" style="409" customWidth="1"/>
    <col min="5636" max="5636" width="71.7109375" style="409" customWidth="1"/>
    <col min="5637" max="5637" width="13" style="409" customWidth="1"/>
    <col min="5638" max="5638" width="0.42578125" style="409" customWidth="1"/>
    <col min="5639" max="5639" width="11" style="409" customWidth="1"/>
    <col min="5640" max="5640" width="11.42578125" style="409" customWidth="1"/>
    <col min="5641" max="5642" width="9.7109375" style="409" customWidth="1"/>
    <col min="5643" max="5643" width="18.140625" style="409" customWidth="1"/>
    <col min="5644" max="5644" width="12.7109375" style="409" customWidth="1"/>
    <col min="5645" max="5645" width="22.140625" style="409" customWidth="1"/>
    <col min="5646" max="5646" width="11.140625" style="409" customWidth="1"/>
    <col min="5647" max="5647" width="9.140625" style="409"/>
    <col min="5648" max="5648" width="13.28515625" style="409" bestFit="1" customWidth="1"/>
    <col min="5649" max="5649" width="9.5703125" style="409" bestFit="1" customWidth="1"/>
    <col min="5650" max="5888" width="9.140625" style="409"/>
    <col min="5889" max="5889" width="3.28515625" style="409" customWidth="1"/>
    <col min="5890" max="5890" width="6.7109375" style="409" customWidth="1"/>
    <col min="5891" max="5891" width="16.85546875" style="409" customWidth="1"/>
    <col min="5892" max="5892" width="71.7109375" style="409" customWidth="1"/>
    <col min="5893" max="5893" width="13" style="409" customWidth="1"/>
    <col min="5894" max="5894" width="0.42578125" style="409" customWidth="1"/>
    <col min="5895" max="5895" width="11" style="409" customWidth="1"/>
    <col min="5896" max="5896" width="11.42578125" style="409" customWidth="1"/>
    <col min="5897" max="5898" width="9.7109375" style="409" customWidth="1"/>
    <col min="5899" max="5899" width="18.140625" style="409" customWidth="1"/>
    <col min="5900" max="5900" width="12.7109375" style="409" customWidth="1"/>
    <col min="5901" max="5901" width="22.140625" style="409" customWidth="1"/>
    <col min="5902" max="5902" width="11.140625" style="409" customWidth="1"/>
    <col min="5903" max="5903" width="9.140625" style="409"/>
    <col min="5904" max="5904" width="13.28515625" style="409" bestFit="1" customWidth="1"/>
    <col min="5905" max="5905" width="9.5703125" style="409" bestFit="1" customWidth="1"/>
    <col min="5906" max="6144" width="9.140625" style="409"/>
    <col min="6145" max="6145" width="3.28515625" style="409" customWidth="1"/>
    <col min="6146" max="6146" width="6.7109375" style="409" customWidth="1"/>
    <col min="6147" max="6147" width="16.85546875" style="409" customWidth="1"/>
    <col min="6148" max="6148" width="71.7109375" style="409" customWidth="1"/>
    <col min="6149" max="6149" width="13" style="409" customWidth="1"/>
    <col min="6150" max="6150" width="0.42578125" style="409" customWidth="1"/>
    <col min="6151" max="6151" width="11" style="409" customWidth="1"/>
    <col min="6152" max="6152" width="11.42578125" style="409" customWidth="1"/>
    <col min="6153" max="6154" width="9.7109375" style="409" customWidth="1"/>
    <col min="6155" max="6155" width="18.140625" style="409" customWidth="1"/>
    <col min="6156" max="6156" width="12.7109375" style="409" customWidth="1"/>
    <col min="6157" max="6157" width="22.140625" style="409" customWidth="1"/>
    <col min="6158" max="6158" width="11.140625" style="409" customWidth="1"/>
    <col min="6159" max="6159" width="9.140625" style="409"/>
    <col min="6160" max="6160" width="13.28515625" style="409" bestFit="1" customWidth="1"/>
    <col min="6161" max="6161" width="9.5703125" style="409" bestFit="1" customWidth="1"/>
    <col min="6162" max="6400" width="9.140625" style="409"/>
    <col min="6401" max="6401" width="3.28515625" style="409" customWidth="1"/>
    <col min="6402" max="6402" width="6.7109375" style="409" customWidth="1"/>
    <col min="6403" max="6403" width="16.85546875" style="409" customWidth="1"/>
    <col min="6404" max="6404" width="71.7109375" style="409" customWidth="1"/>
    <col min="6405" max="6405" width="13" style="409" customWidth="1"/>
    <col min="6406" max="6406" width="0.42578125" style="409" customWidth="1"/>
    <col min="6407" max="6407" width="11" style="409" customWidth="1"/>
    <col min="6408" max="6408" width="11.42578125" style="409" customWidth="1"/>
    <col min="6409" max="6410" width="9.7109375" style="409" customWidth="1"/>
    <col min="6411" max="6411" width="18.140625" style="409" customWidth="1"/>
    <col min="6412" max="6412" width="12.7109375" style="409" customWidth="1"/>
    <col min="6413" max="6413" width="22.140625" style="409" customWidth="1"/>
    <col min="6414" max="6414" width="11.140625" style="409" customWidth="1"/>
    <col min="6415" max="6415" width="9.140625" style="409"/>
    <col min="6416" max="6416" width="13.28515625" style="409" bestFit="1" customWidth="1"/>
    <col min="6417" max="6417" width="9.5703125" style="409" bestFit="1" customWidth="1"/>
    <col min="6418" max="6656" width="9.140625" style="409"/>
    <col min="6657" max="6657" width="3.28515625" style="409" customWidth="1"/>
    <col min="6658" max="6658" width="6.7109375" style="409" customWidth="1"/>
    <col min="6659" max="6659" width="16.85546875" style="409" customWidth="1"/>
    <col min="6660" max="6660" width="71.7109375" style="409" customWidth="1"/>
    <col min="6661" max="6661" width="13" style="409" customWidth="1"/>
    <col min="6662" max="6662" width="0.42578125" style="409" customWidth="1"/>
    <col min="6663" max="6663" width="11" style="409" customWidth="1"/>
    <col min="6664" max="6664" width="11.42578125" style="409" customWidth="1"/>
    <col min="6665" max="6666" width="9.7109375" style="409" customWidth="1"/>
    <col min="6667" max="6667" width="18.140625" style="409" customWidth="1"/>
    <col min="6668" max="6668" width="12.7109375" style="409" customWidth="1"/>
    <col min="6669" max="6669" width="22.140625" style="409" customWidth="1"/>
    <col min="6670" max="6670" width="11.140625" style="409" customWidth="1"/>
    <col min="6671" max="6671" width="9.140625" style="409"/>
    <col min="6672" max="6672" width="13.28515625" style="409" bestFit="1" customWidth="1"/>
    <col min="6673" max="6673" width="9.5703125" style="409" bestFit="1" customWidth="1"/>
    <col min="6674" max="6912" width="9.140625" style="409"/>
    <col min="6913" max="6913" width="3.28515625" style="409" customWidth="1"/>
    <col min="6914" max="6914" width="6.7109375" style="409" customWidth="1"/>
    <col min="6915" max="6915" width="16.85546875" style="409" customWidth="1"/>
    <col min="6916" max="6916" width="71.7109375" style="409" customWidth="1"/>
    <col min="6917" max="6917" width="13" style="409" customWidth="1"/>
    <col min="6918" max="6918" width="0.42578125" style="409" customWidth="1"/>
    <col min="6919" max="6919" width="11" style="409" customWidth="1"/>
    <col min="6920" max="6920" width="11.42578125" style="409" customWidth="1"/>
    <col min="6921" max="6922" width="9.7109375" style="409" customWidth="1"/>
    <col min="6923" max="6923" width="18.140625" style="409" customWidth="1"/>
    <col min="6924" max="6924" width="12.7109375" style="409" customWidth="1"/>
    <col min="6925" max="6925" width="22.140625" style="409" customWidth="1"/>
    <col min="6926" max="6926" width="11.140625" style="409" customWidth="1"/>
    <col min="6927" max="6927" width="9.140625" style="409"/>
    <col min="6928" max="6928" width="13.28515625" style="409" bestFit="1" customWidth="1"/>
    <col min="6929" max="6929" width="9.5703125" style="409" bestFit="1" customWidth="1"/>
    <col min="6930" max="7168" width="9.140625" style="409"/>
    <col min="7169" max="7169" width="3.28515625" style="409" customWidth="1"/>
    <col min="7170" max="7170" width="6.7109375" style="409" customWidth="1"/>
    <col min="7171" max="7171" width="16.85546875" style="409" customWidth="1"/>
    <col min="7172" max="7172" width="71.7109375" style="409" customWidth="1"/>
    <col min="7173" max="7173" width="13" style="409" customWidth="1"/>
    <col min="7174" max="7174" width="0.42578125" style="409" customWidth="1"/>
    <col min="7175" max="7175" width="11" style="409" customWidth="1"/>
    <col min="7176" max="7176" width="11.42578125" style="409" customWidth="1"/>
    <col min="7177" max="7178" width="9.7109375" style="409" customWidth="1"/>
    <col min="7179" max="7179" width="18.140625" style="409" customWidth="1"/>
    <col min="7180" max="7180" width="12.7109375" style="409" customWidth="1"/>
    <col min="7181" max="7181" width="22.140625" style="409" customWidth="1"/>
    <col min="7182" max="7182" width="11.140625" style="409" customWidth="1"/>
    <col min="7183" max="7183" width="9.140625" style="409"/>
    <col min="7184" max="7184" width="13.28515625" style="409" bestFit="1" customWidth="1"/>
    <col min="7185" max="7185" width="9.5703125" style="409" bestFit="1" customWidth="1"/>
    <col min="7186" max="7424" width="9.140625" style="409"/>
    <col min="7425" max="7425" width="3.28515625" style="409" customWidth="1"/>
    <col min="7426" max="7426" width="6.7109375" style="409" customWidth="1"/>
    <col min="7427" max="7427" width="16.85546875" style="409" customWidth="1"/>
    <col min="7428" max="7428" width="71.7109375" style="409" customWidth="1"/>
    <col min="7429" max="7429" width="13" style="409" customWidth="1"/>
    <col min="7430" max="7430" width="0.42578125" style="409" customWidth="1"/>
    <col min="7431" max="7431" width="11" style="409" customWidth="1"/>
    <col min="7432" max="7432" width="11.42578125" style="409" customWidth="1"/>
    <col min="7433" max="7434" width="9.7109375" style="409" customWidth="1"/>
    <col min="7435" max="7435" width="18.140625" style="409" customWidth="1"/>
    <col min="7436" max="7436" width="12.7109375" style="409" customWidth="1"/>
    <col min="7437" max="7437" width="22.140625" style="409" customWidth="1"/>
    <col min="7438" max="7438" width="11.140625" style="409" customWidth="1"/>
    <col min="7439" max="7439" width="9.140625" style="409"/>
    <col min="7440" max="7440" width="13.28515625" style="409" bestFit="1" customWidth="1"/>
    <col min="7441" max="7441" width="9.5703125" style="409" bestFit="1" customWidth="1"/>
    <col min="7442" max="7680" width="9.140625" style="409"/>
    <col min="7681" max="7681" width="3.28515625" style="409" customWidth="1"/>
    <col min="7682" max="7682" width="6.7109375" style="409" customWidth="1"/>
    <col min="7683" max="7683" width="16.85546875" style="409" customWidth="1"/>
    <col min="7684" max="7684" width="71.7109375" style="409" customWidth="1"/>
    <col min="7685" max="7685" width="13" style="409" customWidth="1"/>
    <col min="7686" max="7686" width="0.42578125" style="409" customWidth="1"/>
    <col min="7687" max="7687" width="11" style="409" customWidth="1"/>
    <col min="7688" max="7688" width="11.42578125" style="409" customWidth="1"/>
    <col min="7689" max="7690" width="9.7109375" style="409" customWidth="1"/>
    <col min="7691" max="7691" width="18.140625" style="409" customWidth="1"/>
    <col min="7692" max="7692" width="12.7109375" style="409" customWidth="1"/>
    <col min="7693" max="7693" width="22.140625" style="409" customWidth="1"/>
    <col min="7694" max="7694" width="11.140625" style="409" customWidth="1"/>
    <col min="7695" max="7695" width="9.140625" style="409"/>
    <col min="7696" max="7696" width="13.28515625" style="409" bestFit="1" customWidth="1"/>
    <col min="7697" max="7697" width="9.5703125" style="409" bestFit="1" customWidth="1"/>
    <col min="7698" max="7936" width="9.140625" style="409"/>
    <col min="7937" max="7937" width="3.28515625" style="409" customWidth="1"/>
    <col min="7938" max="7938" width="6.7109375" style="409" customWidth="1"/>
    <col min="7939" max="7939" width="16.85546875" style="409" customWidth="1"/>
    <col min="7940" max="7940" width="71.7109375" style="409" customWidth="1"/>
    <col min="7941" max="7941" width="13" style="409" customWidth="1"/>
    <col min="7942" max="7942" width="0.42578125" style="409" customWidth="1"/>
    <col min="7943" max="7943" width="11" style="409" customWidth="1"/>
    <col min="7944" max="7944" width="11.42578125" style="409" customWidth="1"/>
    <col min="7945" max="7946" width="9.7109375" style="409" customWidth="1"/>
    <col min="7947" max="7947" width="18.140625" style="409" customWidth="1"/>
    <col min="7948" max="7948" width="12.7109375" style="409" customWidth="1"/>
    <col min="7949" max="7949" width="22.140625" style="409" customWidth="1"/>
    <col min="7950" max="7950" width="11.140625" style="409" customWidth="1"/>
    <col min="7951" max="7951" width="9.140625" style="409"/>
    <col min="7952" max="7952" width="13.28515625" style="409" bestFit="1" customWidth="1"/>
    <col min="7953" max="7953" width="9.5703125" style="409" bestFit="1" customWidth="1"/>
    <col min="7954" max="8192" width="9.140625" style="409"/>
    <col min="8193" max="8193" width="3.28515625" style="409" customWidth="1"/>
    <col min="8194" max="8194" width="6.7109375" style="409" customWidth="1"/>
    <col min="8195" max="8195" width="16.85546875" style="409" customWidth="1"/>
    <col min="8196" max="8196" width="71.7109375" style="409" customWidth="1"/>
    <col min="8197" max="8197" width="13" style="409" customWidth="1"/>
    <col min="8198" max="8198" width="0.42578125" style="409" customWidth="1"/>
    <col min="8199" max="8199" width="11" style="409" customWidth="1"/>
    <col min="8200" max="8200" width="11.42578125" style="409" customWidth="1"/>
    <col min="8201" max="8202" width="9.7109375" style="409" customWidth="1"/>
    <col min="8203" max="8203" width="18.140625" style="409" customWidth="1"/>
    <col min="8204" max="8204" width="12.7109375" style="409" customWidth="1"/>
    <col min="8205" max="8205" width="22.140625" style="409" customWidth="1"/>
    <col min="8206" max="8206" width="11.140625" style="409" customWidth="1"/>
    <col min="8207" max="8207" width="9.140625" style="409"/>
    <col min="8208" max="8208" width="13.28515625" style="409" bestFit="1" customWidth="1"/>
    <col min="8209" max="8209" width="9.5703125" style="409" bestFit="1" customWidth="1"/>
    <col min="8210" max="8448" width="9.140625" style="409"/>
    <col min="8449" max="8449" width="3.28515625" style="409" customWidth="1"/>
    <col min="8450" max="8450" width="6.7109375" style="409" customWidth="1"/>
    <col min="8451" max="8451" width="16.85546875" style="409" customWidth="1"/>
    <col min="8452" max="8452" width="71.7109375" style="409" customWidth="1"/>
    <col min="8453" max="8453" width="13" style="409" customWidth="1"/>
    <col min="8454" max="8454" width="0.42578125" style="409" customWidth="1"/>
    <col min="8455" max="8455" width="11" style="409" customWidth="1"/>
    <col min="8456" max="8456" width="11.42578125" style="409" customWidth="1"/>
    <col min="8457" max="8458" width="9.7109375" style="409" customWidth="1"/>
    <col min="8459" max="8459" width="18.140625" style="409" customWidth="1"/>
    <col min="8460" max="8460" width="12.7109375" style="409" customWidth="1"/>
    <col min="8461" max="8461" width="22.140625" style="409" customWidth="1"/>
    <col min="8462" max="8462" width="11.140625" style="409" customWidth="1"/>
    <col min="8463" max="8463" width="9.140625" style="409"/>
    <col min="8464" max="8464" width="13.28515625" style="409" bestFit="1" customWidth="1"/>
    <col min="8465" max="8465" width="9.5703125" style="409" bestFit="1" customWidth="1"/>
    <col min="8466" max="8704" width="9.140625" style="409"/>
    <col min="8705" max="8705" width="3.28515625" style="409" customWidth="1"/>
    <col min="8706" max="8706" width="6.7109375" style="409" customWidth="1"/>
    <col min="8707" max="8707" width="16.85546875" style="409" customWidth="1"/>
    <col min="8708" max="8708" width="71.7109375" style="409" customWidth="1"/>
    <col min="8709" max="8709" width="13" style="409" customWidth="1"/>
    <col min="8710" max="8710" width="0.42578125" style="409" customWidth="1"/>
    <col min="8711" max="8711" width="11" style="409" customWidth="1"/>
    <col min="8712" max="8712" width="11.42578125" style="409" customWidth="1"/>
    <col min="8713" max="8714" width="9.7109375" style="409" customWidth="1"/>
    <col min="8715" max="8715" width="18.140625" style="409" customWidth="1"/>
    <col min="8716" max="8716" width="12.7109375" style="409" customWidth="1"/>
    <col min="8717" max="8717" width="22.140625" style="409" customWidth="1"/>
    <col min="8718" max="8718" width="11.140625" style="409" customWidth="1"/>
    <col min="8719" max="8719" width="9.140625" style="409"/>
    <col min="8720" max="8720" width="13.28515625" style="409" bestFit="1" customWidth="1"/>
    <col min="8721" max="8721" width="9.5703125" style="409" bestFit="1" customWidth="1"/>
    <col min="8722" max="8960" width="9.140625" style="409"/>
    <col min="8961" max="8961" width="3.28515625" style="409" customWidth="1"/>
    <col min="8962" max="8962" width="6.7109375" style="409" customWidth="1"/>
    <col min="8963" max="8963" width="16.85546875" style="409" customWidth="1"/>
    <col min="8964" max="8964" width="71.7109375" style="409" customWidth="1"/>
    <col min="8965" max="8965" width="13" style="409" customWidth="1"/>
    <col min="8966" max="8966" width="0.42578125" style="409" customWidth="1"/>
    <col min="8967" max="8967" width="11" style="409" customWidth="1"/>
    <col min="8968" max="8968" width="11.42578125" style="409" customWidth="1"/>
    <col min="8969" max="8970" width="9.7109375" style="409" customWidth="1"/>
    <col min="8971" max="8971" width="18.140625" style="409" customWidth="1"/>
    <col min="8972" max="8972" width="12.7109375" style="409" customWidth="1"/>
    <col min="8973" max="8973" width="22.140625" style="409" customWidth="1"/>
    <col min="8974" max="8974" width="11.140625" style="409" customWidth="1"/>
    <col min="8975" max="8975" width="9.140625" style="409"/>
    <col min="8976" max="8976" width="13.28515625" style="409" bestFit="1" customWidth="1"/>
    <col min="8977" max="8977" width="9.5703125" style="409" bestFit="1" customWidth="1"/>
    <col min="8978" max="9216" width="9.140625" style="409"/>
    <col min="9217" max="9217" width="3.28515625" style="409" customWidth="1"/>
    <col min="9218" max="9218" width="6.7109375" style="409" customWidth="1"/>
    <col min="9219" max="9219" width="16.85546875" style="409" customWidth="1"/>
    <col min="9220" max="9220" width="71.7109375" style="409" customWidth="1"/>
    <col min="9221" max="9221" width="13" style="409" customWidth="1"/>
    <col min="9222" max="9222" width="0.42578125" style="409" customWidth="1"/>
    <col min="9223" max="9223" width="11" style="409" customWidth="1"/>
    <col min="9224" max="9224" width="11.42578125" style="409" customWidth="1"/>
    <col min="9225" max="9226" width="9.7109375" style="409" customWidth="1"/>
    <col min="9227" max="9227" width="18.140625" style="409" customWidth="1"/>
    <col min="9228" max="9228" width="12.7109375" style="409" customWidth="1"/>
    <col min="9229" max="9229" width="22.140625" style="409" customWidth="1"/>
    <col min="9230" max="9230" width="11.140625" style="409" customWidth="1"/>
    <col min="9231" max="9231" width="9.140625" style="409"/>
    <col min="9232" max="9232" width="13.28515625" style="409" bestFit="1" customWidth="1"/>
    <col min="9233" max="9233" width="9.5703125" style="409" bestFit="1" customWidth="1"/>
    <col min="9234" max="9472" width="9.140625" style="409"/>
    <col min="9473" max="9473" width="3.28515625" style="409" customWidth="1"/>
    <col min="9474" max="9474" width="6.7109375" style="409" customWidth="1"/>
    <col min="9475" max="9475" width="16.85546875" style="409" customWidth="1"/>
    <col min="9476" max="9476" width="71.7109375" style="409" customWidth="1"/>
    <col min="9477" max="9477" width="13" style="409" customWidth="1"/>
    <col min="9478" max="9478" width="0.42578125" style="409" customWidth="1"/>
    <col min="9479" max="9479" width="11" style="409" customWidth="1"/>
    <col min="9480" max="9480" width="11.42578125" style="409" customWidth="1"/>
    <col min="9481" max="9482" width="9.7109375" style="409" customWidth="1"/>
    <col min="9483" max="9483" width="18.140625" style="409" customWidth="1"/>
    <col min="9484" max="9484" width="12.7109375" style="409" customWidth="1"/>
    <col min="9485" max="9485" width="22.140625" style="409" customWidth="1"/>
    <col min="9486" max="9486" width="11.140625" style="409" customWidth="1"/>
    <col min="9487" max="9487" width="9.140625" style="409"/>
    <col min="9488" max="9488" width="13.28515625" style="409" bestFit="1" customWidth="1"/>
    <col min="9489" max="9489" width="9.5703125" style="409" bestFit="1" customWidth="1"/>
    <col min="9490" max="9728" width="9.140625" style="409"/>
    <col min="9729" max="9729" width="3.28515625" style="409" customWidth="1"/>
    <col min="9730" max="9730" width="6.7109375" style="409" customWidth="1"/>
    <col min="9731" max="9731" width="16.85546875" style="409" customWidth="1"/>
    <col min="9732" max="9732" width="71.7109375" style="409" customWidth="1"/>
    <col min="9733" max="9733" width="13" style="409" customWidth="1"/>
    <col min="9734" max="9734" width="0.42578125" style="409" customWidth="1"/>
    <col min="9735" max="9735" width="11" style="409" customWidth="1"/>
    <col min="9736" max="9736" width="11.42578125" style="409" customWidth="1"/>
    <col min="9737" max="9738" width="9.7109375" style="409" customWidth="1"/>
    <col min="9739" max="9739" width="18.140625" style="409" customWidth="1"/>
    <col min="9740" max="9740" width="12.7109375" style="409" customWidth="1"/>
    <col min="9741" max="9741" width="22.140625" style="409" customWidth="1"/>
    <col min="9742" max="9742" width="11.140625" style="409" customWidth="1"/>
    <col min="9743" max="9743" width="9.140625" style="409"/>
    <col min="9744" max="9744" width="13.28515625" style="409" bestFit="1" customWidth="1"/>
    <col min="9745" max="9745" width="9.5703125" style="409" bestFit="1" customWidth="1"/>
    <col min="9746" max="9984" width="9.140625" style="409"/>
    <col min="9985" max="9985" width="3.28515625" style="409" customWidth="1"/>
    <col min="9986" max="9986" width="6.7109375" style="409" customWidth="1"/>
    <col min="9987" max="9987" width="16.85546875" style="409" customWidth="1"/>
    <col min="9988" max="9988" width="71.7109375" style="409" customWidth="1"/>
    <col min="9989" max="9989" width="13" style="409" customWidth="1"/>
    <col min="9990" max="9990" width="0.42578125" style="409" customWidth="1"/>
    <col min="9991" max="9991" width="11" style="409" customWidth="1"/>
    <col min="9992" max="9992" width="11.42578125" style="409" customWidth="1"/>
    <col min="9993" max="9994" width="9.7109375" style="409" customWidth="1"/>
    <col min="9995" max="9995" width="18.140625" style="409" customWidth="1"/>
    <col min="9996" max="9996" width="12.7109375" style="409" customWidth="1"/>
    <col min="9997" max="9997" width="22.140625" style="409" customWidth="1"/>
    <col min="9998" max="9998" width="11.140625" style="409" customWidth="1"/>
    <col min="9999" max="9999" width="9.140625" style="409"/>
    <col min="10000" max="10000" width="13.28515625" style="409" bestFit="1" customWidth="1"/>
    <col min="10001" max="10001" width="9.5703125" style="409" bestFit="1" customWidth="1"/>
    <col min="10002" max="10240" width="9.140625" style="409"/>
    <col min="10241" max="10241" width="3.28515625" style="409" customWidth="1"/>
    <col min="10242" max="10242" width="6.7109375" style="409" customWidth="1"/>
    <col min="10243" max="10243" width="16.85546875" style="409" customWidth="1"/>
    <col min="10244" max="10244" width="71.7109375" style="409" customWidth="1"/>
    <col min="10245" max="10245" width="13" style="409" customWidth="1"/>
    <col min="10246" max="10246" width="0.42578125" style="409" customWidth="1"/>
    <col min="10247" max="10247" width="11" style="409" customWidth="1"/>
    <col min="10248" max="10248" width="11.42578125" style="409" customWidth="1"/>
    <col min="10249" max="10250" width="9.7109375" style="409" customWidth="1"/>
    <col min="10251" max="10251" width="18.140625" style="409" customWidth="1"/>
    <col min="10252" max="10252" width="12.7109375" style="409" customWidth="1"/>
    <col min="10253" max="10253" width="22.140625" style="409" customWidth="1"/>
    <col min="10254" max="10254" width="11.140625" style="409" customWidth="1"/>
    <col min="10255" max="10255" width="9.140625" style="409"/>
    <col min="10256" max="10256" width="13.28515625" style="409" bestFit="1" customWidth="1"/>
    <col min="10257" max="10257" width="9.5703125" style="409" bestFit="1" customWidth="1"/>
    <col min="10258" max="10496" width="9.140625" style="409"/>
    <col min="10497" max="10497" width="3.28515625" style="409" customWidth="1"/>
    <col min="10498" max="10498" width="6.7109375" style="409" customWidth="1"/>
    <col min="10499" max="10499" width="16.85546875" style="409" customWidth="1"/>
    <col min="10500" max="10500" width="71.7109375" style="409" customWidth="1"/>
    <col min="10501" max="10501" width="13" style="409" customWidth="1"/>
    <col min="10502" max="10502" width="0.42578125" style="409" customWidth="1"/>
    <col min="10503" max="10503" width="11" style="409" customWidth="1"/>
    <col min="10504" max="10504" width="11.42578125" style="409" customWidth="1"/>
    <col min="10505" max="10506" width="9.7109375" style="409" customWidth="1"/>
    <col min="10507" max="10507" width="18.140625" style="409" customWidth="1"/>
    <col min="10508" max="10508" width="12.7109375" style="409" customWidth="1"/>
    <col min="10509" max="10509" width="22.140625" style="409" customWidth="1"/>
    <col min="10510" max="10510" width="11.140625" style="409" customWidth="1"/>
    <col min="10511" max="10511" width="9.140625" style="409"/>
    <col min="10512" max="10512" width="13.28515625" style="409" bestFit="1" customWidth="1"/>
    <col min="10513" max="10513" width="9.5703125" style="409" bestFit="1" customWidth="1"/>
    <col min="10514" max="10752" width="9.140625" style="409"/>
    <col min="10753" max="10753" width="3.28515625" style="409" customWidth="1"/>
    <col min="10754" max="10754" width="6.7109375" style="409" customWidth="1"/>
    <col min="10755" max="10755" width="16.85546875" style="409" customWidth="1"/>
    <col min="10756" max="10756" width="71.7109375" style="409" customWidth="1"/>
    <col min="10757" max="10757" width="13" style="409" customWidth="1"/>
    <col min="10758" max="10758" width="0.42578125" style="409" customWidth="1"/>
    <col min="10759" max="10759" width="11" style="409" customWidth="1"/>
    <col min="10760" max="10760" width="11.42578125" style="409" customWidth="1"/>
    <col min="10761" max="10762" width="9.7109375" style="409" customWidth="1"/>
    <col min="10763" max="10763" width="18.140625" style="409" customWidth="1"/>
    <col min="10764" max="10764" width="12.7109375" style="409" customWidth="1"/>
    <col min="10765" max="10765" width="22.140625" style="409" customWidth="1"/>
    <col min="10766" max="10766" width="11.140625" style="409" customWidth="1"/>
    <col min="10767" max="10767" width="9.140625" style="409"/>
    <col min="10768" max="10768" width="13.28515625" style="409" bestFit="1" customWidth="1"/>
    <col min="10769" max="10769" width="9.5703125" style="409" bestFit="1" customWidth="1"/>
    <col min="10770" max="11008" width="9.140625" style="409"/>
    <col min="11009" max="11009" width="3.28515625" style="409" customWidth="1"/>
    <col min="11010" max="11010" width="6.7109375" style="409" customWidth="1"/>
    <col min="11011" max="11011" width="16.85546875" style="409" customWidth="1"/>
    <col min="11012" max="11012" width="71.7109375" style="409" customWidth="1"/>
    <col min="11013" max="11013" width="13" style="409" customWidth="1"/>
    <col min="11014" max="11014" width="0.42578125" style="409" customWidth="1"/>
    <col min="11015" max="11015" width="11" style="409" customWidth="1"/>
    <col min="11016" max="11016" width="11.42578125" style="409" customWidth="1"/>
    <col min="11017" max="11018" width="9.7109375" style="409" customWidth="1"/>
    <col min="11019" max="11019" width="18.140625" style="409" customWidth="1"/>
    <col min="11020" max="11020" width="12.7109375" style="409" customWidth="1"/>
    <col min="11021" max="11021" width="22.140625" style="409" customWidth="1"/>
    <col min="11022" max="11022" width="11.140625" style="409" customWidth="1"/>
    <col min="11023" max="11023" width="9.140625" style="409"/>
    <col min="11024" max="11024" width="13.28515625" style="409" bestFit="1" customWidth="1"/>
    <col min="11025" max="11025" width="9.5703125" style="409" bestFit="1" customWidth="1"/>
    <col min="11026" max="11264" width="9.140625" style="409"/>
    <col min="11265" max="11265" width="3.28515625" style="409" customWidth="1"/>
    <col min="11266" max="11266" width="6.7109375" style="409" customWidth="1"/>
    <col min="11267" max="11267" width="16.85546875" style="409" customWidth="1"/>
    <col min="11268" max="11268" width="71.7109375" style="409" customWidth="1"/>
    <col min="11269" max="11269" width="13" style="409" customWidth="1"/>
    <col min="11270" max="11270" width="0.42578125" style="409" customWidth="1"/>
    <col min="11271" max="11271" width="11" style="409" customWidth="1"/>
    <col min="11272" max="11272" width="11.42578125" style="409" customWidth="1"/>
    <col min="11273" max="11274" width="9.7109375" style="409" customWidth="1"/>
    <col min="11275" max="11275" width="18.140625" style="409" customWidth="1"/>
    <col min="11276" max="11276" width="12.7109375" style="409" customWidth="1"/>
    <col min="11277" max="11277" width="22.140625" style="409" customWidth="1"/>
    <col min="11278" max="11278" width="11.140625" style="409" customWidth="1"/>
    <col min="11279" max="11279" width="9.140625" style="409"/>
    <col min="11280" max="11280" width="13.28515625" style="409" bestFit="1" customWidth="1"/>
    <col min="11281" max="11281" width="9.5703125" style="409" bestFit="1" customWidth="1"/>
    <col min="11282" max="11520" width="9.140625" style="409"/>
    <col min="11521" max="11521" width="3.28515625" style="409" customWidth="1"/>
    <col min="11522" max="11522" width="6.7109375" style="409" customWidth="1"/>
    <col min="11523" max="11523" width="16.85546875" style="409" customWidth="1"/>
    <col min="11524" max="11524" width="71.7109375" style="409" customWidth="1"/>
    <col min="11525" max="11525" width="13" style="409" customWidth="1"/>
    <col min="11526" max="11526" width="0.42578125" style="409" customWidth="1"/>
    <col min="11527" max="11527" width="11" style="409" customWidth="1"/>
    <col min="11528" max="11528" width="11.42578125" style="409" customWidth="1"/>
    <col min="11529" max="11530" width="9.7109375" style="409" customWidth="1"/>
    <col min="11531" max="11531" width="18.140625" style="409" customWidth="1"/>
    <col min="11532" max="11532" width="12.7109375" style="409" customWidth="1"/>
    <col min="11533" max="11533" width="22.140625" style="409" customWidth="1"/>
    <col min="11534" max="11534" width="11.140625" style="409" customWidth="1"/>
    <col min="11535" max="11535" width="9.140625" style="409"/>
    <col min="11536" max="11536" width="13.28515625" style="409" bestFit="1" customWidth="1"/>
    <col min="11537" max="11537" width="9.5703125" style="409" bestFit="1" customWidth="1"/>
    <col min="11538" max="11776" width="9.140625" style="409"/>
    <col min="11777" max="11777" width="3.28515625" style="409" customWidth="1"/>
    <col min="11778" max="11778" width="6.7109375" style="409" customWidth="1"/>
    <col min="11779" max="11779" width="16.85546875" style="409" customWidth="1"/>
    <col min="11780" max="11780" width="71.7109375" style="409" customWidth="1"/>
    <col min="11781" max="11781" width="13" style="409" customWidth="1"/>
    <col min="11782" max="11782" width="0.42578125" style="409" customWidth="1"/>
    <col min="11783" max="11783" width="11" style="409" customWidth="1"/>
    <col min="11784" max="11784" width="11.42578125" style="409" customWidth="1"/>
    <col min="11785" max="11786" width="9.7109375" style="409" customWidth="1"/>
    <col min="11787" max="11787" width="18.140625" style="409" customWidth="1"/>
    <col min="11788" max="11788" width="12.7109375" style="409" customWidth="1"/>
    <col min="11789" max="11789" width="22.140625" style="409" customWidth="1"/>
    <col min="11790" max="11790" width="11.140625" style="409" customWidth="1"/>
    <col min="11791" max="11791" width="9.140625" style="409"/>
    <col min="11792" max="11792" width="13.28515625" style="409" bestFit="1" customWidth="1"/>
    <col min="11793" max="11793" width="9.5703125" style="409" bestFit="1" customWidth="1"/>
    <col min="11794" max="12032" width="9.140625" style="409"/>
    <col min="12033" max="12033" width="3.28515625" style="409" customWidth="1"/>
    <col min="12034" max="12034" width="6.7109375" style="409" customWidth="1"/>
    <col min="12035" max="12035" width="16.85546875" style="409" customWidth="1"/>
    <col min="12036" max="12036" width="71.7109375" style="409" customWidth="1"/>
    <col min="12037" max="12037" width="13" style="409" customWidth="1"/>
    <col min="12038" max="12038" width="0.42578125" style="409" customWidth="1"/>
    <col min="12039" max="12039" width="11" style="409" customWidth="1"/>
    <col min="12040" max="12040" width="11.42578125" style="409" customWidth="1"/>
    <col min="12041" max="12042" width="9.7109375" style="409" customWidth="1"/>
    <col min="12043" max="12043" width="18.140625" style="409" customWidth="1"/>
    <col min="12044" max="12044" width="12.7109375" style="409" customWidth="1"/>
    <col min="12045" max="12045" width="22.140625" style="409" customWidth="1"/>
    <col min="12046" max="12046" width="11.140625" style="409" customWidth="1"/>
    <col min="12047" max="12047" width="9.140625" style="409"/>
    <col min="12048" max="12048" width="13.28515625" style="409" bestFit="1" customWidth="1"/>
    <col min="12049" max="12049" width="9.5703125" style="409" bestFit="1" customWidth="1"/>
    <col min="12050" max="12288" width="9.140625" style="409"/>
    <col min="12289" max="12289" width="3.28515625" style="409" customWidth="1"/>
    <col min="12290" max="12290" width="6.7109375" style="409" customWidth="1"/>
    <col min="12291" max="12291" width="16.85546875" style="409" customWidth="1"/>
    <col min="12292" max="12292" width="71.7109375" style="409" customWidth="1"/>
    <col min="12293" max="12293" width="13" style="409" customWidth="1"/>
    <col min="12294" max="12294" width="0.42578125" style="409" customWidth="1"/>
    <col min="12295" max="12295" width="11" style="409" customWidth="1"/>
    <col min="12296" max="12296" width="11.42578125" style="409" customWidth="1"/>
    <col min="12297" max="12298" width="9.7109375" style="409" customWidth="1"/>
    <col min="12299" max="12299" width="18.140625" style="409" customWidth="1"/>
    <col min="12300" max="12300" width="12.7109375" style="409" customWidth="1"/>
    <col min="12301" max="12301" width="22.140625" style="409" customWidth="1"/>
    <col min="12302" max="12302" width="11.140625" style="409" customWidth="1"/>
    <col min="12303" max="12303" width="9.140625" style="409"/>
    <col min="12304" max="12304" width="13.28515625" style="409" bestFit="1" customWidth="1"/>
    <col min="12305" max="12305" width="9.5703125" style="409" bestFit="1" customWidth="1"/>
    <col min="12306" max="12544" width="9.140625" style="409"/>
    <col min="12545" max="12545" width="3.28515625" style="409" customWidth="1"/>
    <col min="12546" max="12546" width="6.7109375" style="409" customWidth="1"/>
    <col min="12547" max="12547" width="16.85546875" style="409" customWidth="1"/>
    <col min="12548" max="12548" width="71.7109375" style="409" customWidth="1"/>
    <col min="12549" max="12549" width="13" style="409" customWidth="1"/>
    <col min="12550" max="12550" width="0.42578125" style="409" customWidth="1"/>
    <col min="12551" max="12551" width="11" style="409" customWidth="1"/>
    <col min="12552" max="12552" width="11.42578125" style="409" customWidth="1"/>
    <col min="12553" max="12554" width="9.7109375" style="409" customWidth="1"/>
    <col min="12555" max="12555" width="18.140625" style="409" customWidth="1"/>
    <col min="12556" max="12556" width="12.7109375" style="409" customWidth="1"/>
    <col min="12557" max="12557" width="22.140625" style="409" customWidth="1"/>
    <col min="12558" max="12558" width="11.140625" style="409" customWidth="1"/>
    <col min="12559" max="12559" width="9.140625" style="409"/>
    <col min="12560" max="12560" width="13.28515625" style="409" bestFit="1" customWidth="1"/>
    <col min="12561" max="12561" width="9.5703125" style="409" bestFit="1" customWidth="1"/>
    <col min="12562" max="12800" width="9.140625" style="409"/>
    <col min="12801" max="12801" width="3.28515625" style="409" customWidth="1"/>
    <col min="12802" max="12802" width="6.7109375" style="409" customWidth="1"/>
    <col min="12803" max="12803" width="16.85546875" style="409" customWidth="1"/>
    <col min="12804" max="12804" width="71.7109375" style="409" customWidth="1"/>
    <col min="12805" max="12805" width="13" style="409" customWidth="1"/>
    <col min="12806" max="12806" width="0.42578125" style="409" customWidth="1"/>
    <col min="12807" max="12807" width="11" style="409" customWidth="1"/>
    <col min="12808" max="12808" width="11.42578125" style="409" customWidth="1"/>
    <col min="12809" max="12810" width="9.7109375" style="409" customWidth="1"/>
    <col min="12811" max="12811" width="18.140625" style="409" customWidth="1"/>
    <col min="12812" max="12812" width="12.7109375" style="409" customWidth="1"/>
    <col min="12813" max="12813" width="22.140625" style="409" customWidth="1"/>
    <col min="12814" max="12814" width="11.140625" style="409" customWidth="1"/>
    <col min="12815" max="12815" width="9.140625" style="409"/>
    <col min="12816" max="12816" width="13.28515625" style="409" bestFit="1" customWidth="1"/>
    <col min="12817" max="12817" width="9.5703125" style="409" bestFit="1" customWidth="1"/>
    <col min="12818" max="13056" width="9.140625" style="409"/>
    <col min="13057" max="13057" width="3.28515625" style="409" customWidth="1"/>
    <col min="13058" max="13058" width="6.7109375" style="409" customWidth="1"/>
    <col min="13059" max="13059" width="16.85546875" style="409" customWidth="1"/>
    <col min="13060" max="13060" width="71.7109375" style="409" customWidth="1"/>
    <col min="13061" max="13061" width="13" style="409" customWidth="1"/>
    <col min="13062" max="13062" width="0.42578125" style="409" customWidth="1"/>
    <col min="13063" max="13063" width="11" style="409" customWidth="1"/>
    <col min="13064" max="13064" width="11.42578125" style="409" customWidth="1"/>
    <col min="13065" max="13066" width="9.7109375" style="409" customWidth="1"/>
    <col min="13067" max="13067" width="18.140625" style="409" customWidth="1"/>
    <col min="13068" max="13068" width="12.7109375" style="409" customWidth="1"/>
    <col min="13069" max="13069" width="22.140625" style="409" customWidth="1"/>
    <col min="13070" max="13070" width="11.140625" style="409" customWidth="1"/>
    <col min="13071" max="13071" width="9.140625" style="409"/>
    <col min="13072" max="13072" width="13.28515625" style="409" bestFit="1" customWidth="1"/>
    <col min="13073" max="13073" width="9.5703125" style="409" bestFit="1" customWidth="1"/>
    <col min="13074" max="13312" width="9.140625" style="409"/>
    <col min="13313" max="13313" width="3.28515625" style="409" customWidth="1"/>
    <col min="13314" max="13314" width="6.7109375" style="409" customWidth="1"/>
    <col min="13315" max="13315" width="16.85546875" style="409" customWidth="1"/>
    <col min="13316" max="13316" width="71.7109375" style="409" customWidth="1"/>
    <col min="13317" max="13317" width="13" style="409" customWidth="1"/>
    <col min="13318" max="13318" width="0.42578125" style="409" customWidth="1"/>
    <col min="13319" max="13319" width="11" style="409" customWidth="1"/>
    <col min="13320" max="13320" width="11.42578125" style="409" customWidth="1"/>
    <col min="13321" max="13322" width="9.7109375" style="409" customWidth="1"/>
    <col min="13323" max="13323" width="18.140625" style="409" customWidth="1"/>
    <col min="13324" max="13324" width="12.7109375" style="409" customWidth="1"/>
    <col min="13325" max="13325" width="22.140625" style="409" customWidth="1"/>
    <col min="13326" max="13326" width="11.140625" style="409" customWidth="1"/>
    <col min="13327" max="13327" width="9.140625" style="409"/>
    <col min="13328" max="13328" width="13.28515625" style="409" bestFit="1" customWidth="1"/>
    <col min="13329" max="13329" width="9.5703125" style="409" bestFit="1" customWidth="1"/>
    <col min="13330" max="13568" width="9.140625" style="409"/>
    <col min="13569" max="13569" width="3.28515625" style="409" customWidth="1"/>
    <col min="13570" max="13570" width="6.7109375" style="409" customWidth="1"/>
    <col min="13571" max="13571" width="16.85546875" style="409" customWidth="1"/>
    <col min="13572" max="13572" width="71.7109375" style="409" customWidth="1"/>
    <col min="13573" max="13573" width="13" style="409" customWidth="1"/>
    <col min="13574" max="13574" width="0.42578125" style="409" customWidth="1"/>
    <col min="13575" max="13575" width="11" style="409" customWidth="1"/>
    <col min="13576" max="13576" width="11.42578125" style="409" customWidth="1"/>
    <col min="13577" max="13578" width="9.7109375" style="409" customWidth="1"/>
    <col min="13579" max="13579" width="18.140625" style="409" customWidth="1"/>
    <col min="13580" max="13580" width="12.7109375" style="409" customWidth="1"/>
    <col min="13581" max="13581" width="22.140625" style="409" customWidth="1"/>
    <col min="13582" max="13582" width="11.140625" style="409" customWidth="1"/>
    <col min="13583" max="13583" width="9.140625" style="409"/>
    <col min="13584" max="13584" width="13.28515625" style="409" bestFit="1" customWidth="1"/>
    <col min="13585" max="13585" width="9.5703125" style="409" bestFit="1" customWidth="1"/>
    <col min="13586" max="13824" width="9.140625" style="409"/>
    <col min="13825" max="13825" width="3.28515625" style="409" customWidth="1"/>
    <col min="13826" max="13826" width="6.7109375" style="409" customWidth="1"/>
    <col min="13827" max="13827" width="16.85546875" style="409" customWidth="1"/>
    <col min="13828" max="13828" width="71.7109375" style="409" customWidth="1"/>
    <col min="13829" max="13829" width="13" style="409" customWidth="1"/>
    <col min="13830" max="13830" width="0.42578125" style="409" customWidth="1"/>
    <col min="13831" max="13831" width="11" style="409" customWidth="1"/>
    <col min="13832" max="13832" width="11.42578125" style="409" customWidth="1"/>
    <col min="13833" max="13834" width="9.7109375" style="409" customWidth="1"/>
    <col min="13835" max="13835" width="18.140625" style="409" customWidth="1"/>
    <col min="13836" max="13836" width="12.7109375" style="409" customWidth="1"/>
    <col min="13837" max="13837" width="22.140625" style="409" customWidth="1"/>
    <col min="13838" max="13838" width="11.140625" style="409" customWidth="1"/>
    <col min="13839" max="13839" width="9.140625" style="409"/>
    <col min="13840" max="13840" width="13.28515625" style="409" bestFit="1" customWidth="1"/>
    <col min="13841" max="13841" width="9.5703125" style="409" bestFit="1" customWidth="1"/>
    <col min="13842" max="14080" width="9.140625" style="409"/>
    <col min="14081" max="14081" width="3.28515625" style="409" customWidth="1"/>
    <col min="14082" max="14082" width="6.7109375" style="409" customWidth="1"/>
    <col min="14083" max="14083" width="16.85546875" style="409" customWidth="1"/>
    <col min="14084" max="14084" width="71.7109375" style="409" customWidth="1"/>
    <col min="14085" max="14085" width="13" style="409" customWidth="1"/>
    <col min="14086" max="14086" width="0.42578125" style="409" customWidth="1"/>
    <col min="14087" max="14087" width="11" style="409" customWidth="1"/>
    <col min="14088" max="14088" width="11.42578125" style="409" customWidth="1"/>
    <col min="14089" max="14090" width="9.7109375" style="409" customWidth="1"/>
    <col min="14091" max="14091" width="18.140625" style="409" customWidth="1"/>
    <col min="14092" max="14092" width="12.7109375" style="409" customWidth="1"/>
    <col min="14093" max="14093" width="22.140625" style="409" customWidth="1"/>
    <col min="14094" max="14094" width="11.140625" style="409" customWidth="1"/>
    <col min="14095" max="14095" width="9.140625" style="409"/>
    <col min="14096" max="14096" width="13.28515625" style="409" bestFit="1" customWidth="1"/>
    <col min="14097" max="14097" width="9.5703125" style="409" bestFit="1" customWidth="1"/>
    <col min="14098" max="14336" width="9.140625" style="409"/>
    <col min="14337" max="14337" width="3.28515625" style="409" customWidth="1"/>
    <col min="14338" max="14338" width="6.7109375" style="409" customWidth="1"/>
    <col min="14339" max="14339" width="16.85546875" style="409" customWidth="1"/>
    <col min="14340" max="14340" width="71.7109375" style="409" customWidth="1"/>
    <col min="14341" max="14341" width="13" style="409" customWidth="1"/>
    <col min="14342" max="14342" width="0.42578125" style="409" customWidth="1"/>
    <col min="14343" max="14343" width="11" style="409" customWidth="1"/>
    <col min="14344" max="14344" width="11.42578125" style="409" customWidth="1"/>
    <col min="14345" max="14346" width="9.7109375" style="409" customWidth="1"/>
    <col min="14347" max="14347" width="18.140625" style="409" customWidth="1"/>
    <col min="14348" max="14348" width="12.7109375" style="409" customWidth="1"/>
    <col min="14349" max="14349" width="22.140625" style="409" customWidth="1"/>
    <col min="14350" max="14350" width="11.140625" style="409" customWidth="1"/>
    <col min="14351" max="14351" width="9.140625" style="409"/>
    <col min="14352" max="14352" width="13.28515625" style="409" bestFit="1" customWidth="1"/>
    <col min="14353" max="14353" width="9.5703125" style="409" bestFit="1" customWidth="1"/>
    <col min="14354" max="14592" width="9.140625" style="409"/>
    <col min="14593" max="14593" width="3.28515625" style="409" customWidth="1"/>
    <col min="14594" max="14594" width="6.7109375" style="409" customWidth="1"/>
    <col min="14595" max="14595" width="16.85546875" style="409" customWidth="1"/>
    <col min="14596" max="14596" width="71.7109375" style="409" customWidth="1"/>
    <col min="14597" max="14597" width="13" style="409" customWidth="1"/>
    <col min="14598" max="14598" width="0.42578125" style="409" customWidth="1"/>
    <col min="14599" max="14599" width="11" style="409" customWidth="1"/>
    <col min="14600" max="14600" width="11.42578125" style="409" customWidth="1"/>
    <col min="14601" max="14602" width="9.7109375" style="409" customWidth="1"/>
    <col min="14603" max="14603" width="18.140625" style="409" customWidth="1"/>
    <col min="14604" max="14604" width="12.7109375" style="409" customWidth="1"/>
    <col min="14605" max="14605" width="22.140625" style="409" customWidth="1"/>
    <col min="14606" max="14606" width="11.140625" style="409" customWidth="1"/>
    <col min="14607" max="14607" width="9.140625" style="409"/>
    <col min="14608" max="14608" width="13.28515625" style="409" bestFit="1" customWidth="1"/>
    <col min="14609" max="14609" width="9.5703125" style="409" bestFit="1" customWidth="1"/>
    <col min="14610" max="14848" width="9.140625" style="409"/>
    <col min="14849" max="14849" width="3.28515625" style="409" customWidth="1"/>
    <col min="14850" max="14850" width="6.7109375" style="409" customWidth="1"/>
    <col min="14851" max="14851" width="16.85546875" style="409" customWidth="1"/>
    <col min="14852" max="14852" width="71.7109375" style="409" customWidth="1"/>
    <col min="14853" max="14853" width="13" style="409" customWidth="1"/>
    <col min="14854" max="14854" width="0.42578125" style="409" customWidth="1"/>
    <col min="14855" max="14855" width="11" style="409" customWidth="1"/>
    <col min="14856" max="14856" width="11.42578125" style="409" customWidth="1"/>
    <col min="14857" max="14858" width="9.7109375" style="409" customWidth="1"/>
    <col min="14859" max="14859" width="18.140625" style="409" customWidth="1"/>
    <col min="14860" max="14860" width="12.7109375" style="409" customWidth="1"/>
    <col min="14861" max="14861" width="22.140625" style="409" customWidth="1"/>
    <col min="14862" max="14862" width="11.140625" style="409" customWidth="1"/>
    <col min="14863" max="14863" width="9.140625" style="409"/>
    <col min="14864" max="14864" width="13.28515625" style="409" bestFit="1" customWidth="1"/>
    <col min="14865" max="14865" width="9.5703125" style="409" bestFit="1" customWidth="1"/>
    <col min="14866" max="15104" width="9.140625" style="409"/>
    <col min="15105" max="15105" width="3.28515625" style="409" customWidth="1"/>
    <col min="15106" max="15106" width="6.7109375" style="409" customWidth="1"/>
    <col min="15107" max="15107" width="16.85546875" style="409" customWidth="1"/>
    <col min="15108" max="15108" width="71.7109375" style="409" customWidth="1"/>
    <col min="15109" max="15109" width="13" style="409" customWidth="1"/>
    <col min="15110" max="15110" width="0.42578125" style="409" customWidth="1"/>
    <col min="15111" max="15111" width="11" style="409" customWidth="1"/>
    <col min="15112" max="15112" width="11.42578125" style="409" customWidth="1"/>
    <col min="15113" max="15114" width="9.7109375" style="409" customWidth="1"/>
    <col min="15115" max="15115" width="18.140625" style="409" customWidth="1"/>
    <col min="15116" max="15116" width="12.7109375" style="409" customWidth="1"/>
    <col min="15117" max="15117" width="22.140625" style="409" customWidth="1"/>
    <col min="15118" max="15118" width="11.140625" style="409" customWidth="1"/>
    <col min="15119" max="15119" width="9.140625" style="409"/>
    <col min="15120" max="15120" width="13.28515625" style="409" bestFit="1" customWidth="1"/>
    <col min="15121" max="15121" width="9.5703125" style="409" bestFit="1" customWidth="1"/>
    <col min="15122" max="15360" width="9.140625" style="409"/>
    <col min="15361" max="15361" width="3.28515625" style="409" customWidth="1"/>
    <col min="15362" max="15362" width="6.7109375" style="409" customWidth="1"/>
    <col min="15363" max="15363" width="16.85546875" style="409" customWidth="1"/>
    <col min="15364" max="15364" width="71.7109375" style="409" customWidth="1"/>
    <col min="15365" max="15365" width="13" style="409" customWidth="1"/>
    <col min="15366" max="15366" width="0.42578125" style="409" customWidth="1"/>
    <col min="15367" max="15367" width="11" style="409" customWidth="1"/>
    <col min="15368" max="15368" width="11.42578125" style="409" customWidth="1"/>
    <col min="15369" max="15370" width="9.7109375" style="409" customWidth="1"/>
    <col min="15371" max="15371" width="18.140625" style="409" customWidth="1"/>
    <col min="15372" max="15372" width="12.7109375" style="409" customWidth="1"/>
    <col min="15373" max="15373" width="22.140625" style="409" customWidth="1"/>
    <col min="15374" max="15374" width="11.140625" style="409" customWidth="1"/>
    <col min="15375" max="15375" width="9.140625" style="409"/>
    <col min="15376" max="15376" width="13.28515625" style="409" bestFit="1" customWidth="1"/>
    <col min="15377" max="15377" width="9.5703125" style="409" bestFit="1" customWidth="1"/>
    <col min="15378" max="15616" width="9.140625" style="409"/>
    <col min="15617" max="15617" width="3.28515625" style="409" customWidth="1"/>
    <col min="15618" max="15618" width="6.7109375" style="409" customWidth="1"/>
    <col min="15619" max="15619" width="16.85546875" style="409" customWidth="1"/>
    <col min="15620" max="15620" width="71.7109375" style="409" customWidth="1"/>
    <col min="15621" max="15621" width="13" style="409" customWidth="1"/>
    <col min="15622" max="15622" width="0.42578125" style="409" customWidth="1"/>
    <col min="15623" max="15623" width="11" style="409" customWidth="1"/>
    <col min="15624" max="15624" width="11.42578125" style="409" customWidth="1"/>
    <col min="15625" max="15626" width="9.7109375" style="409" customWidth="1"/>
    <col min="15627" max="15627" width="18.140625" style="409" customWidth="1"/>
    <col min="15628" max="15628" width="12.7109375" style="409" customWidth="1"/>
    <col min="15629" max="15629" width="22.140625" style="409" customWidth="1"/>
    <col min="15630" max="15630" width="11.140625" style="409" customWidth="1"/>
    <col min="15631" max="15631" width="9.140625" style="409"/>
    <col min="15632" max="15632" width="13.28515625" style="409" bestFit="1" customWidth="1"/>
    <col min="15633" max="15633" width="9.5703125" style="409" bestFit="1" customWidth="1"/>
    <col min="15634" max="15872" width="9.140625" style="409"/>
    <col min="15873" max="15873" width="3.28515625" style="409" customWidth="1"/>
    <col min="15874" max="15874" width="6.7109375" style="409" customWidth="1"/>
    <col min="15875" max="15875" width="16.85546875" style="409" customWidth="1"/>
    <col min="15876" max="15876" width="71.7109375" style="409" customWidth="1"/>
    <col min="15877" max="15877" width="13" style="409" customWidth="1"/>
    <col min="15878" max="15878" width="0.42578125" style="409" customWidth="1"/>
    <col min="15879" max="15879" width="11" style="409" customWidth="1"/>
    <col min="15880" max="15880" width="11.42578125" style="409" customWidth="1"/>
    <col min="15881" max="15882" width="9.7109375" style="409" customWidth="1"/>
    <col min="15883" max="15883" width="18.140625" style="409" customWidth="1"/>
    <col min="15884" max="15884" width="12.7109375" style="409" customWidth="1"/>
    <col min="15885" max="15885" width="22.140625" style="409" customWidth="1"/>
    <col min="15886" max="15886" width="11.140625" style="409" customWidth="1"/>
    <col min="15887" max="15887" width="9.140625" style="409"/>
    <col min="15888" max="15888" width="13.28515625" style="409" bestFit="1" customWidth="1"/>
    <col min="15889" max="15889" width="9.5703125" style="409" bestFit="1" customWidth="1"/>
    <col min="15890" max="16128" width="9.140625" style="409"/>
    <col min="16129" max="16129" width="3.28515625" style="409" customWidth="1"/>
    <col min="16130" max="16130" width="6.7109375" style="409" customWidth="1"/>
    <col min="16131" max="16131" width="16.85546875" style="409" customWidth="1"/>
    <col min="16132" max="16132" width="71.7109375" style="409" customWidth="1"/>
    <col min="16133" max="16133" width="13" style="409" customWidth="1"/>
    <col min="16134" max="16134" width="0.42578125" style="409" customWidth="1"/>
    <col min="16135" max="16135" width="11" style="409" customWidth="1"/>
    <col min="16136" max="16136" width="11.42578125" style="409" customWidth="1"/>
    <col min="16137" max="16138" width="9.7109375" style="409" customWidth="1"/>
    <col min="16139" max="16139" width="18.140625" style="409" customWidth="1"/>
    <col min="16140" max="16140" width="12.7109375" style="409" customWidth="1"/>
    <col min="16141" max="16141" width="22.140625" style="409" customWidth="1"/>
    <col min="16142" max="16142" width="11.140625" style="409" customWidth="1"/>
    <col min="16143" max="16143" width="9.140625" style="409"/>
    <col min="16144" max="16144" width="13.28515625" style="409" bestFit="1" customWidth="1"/>
    <col min="16145" max="16145" width="9.5703125" style="409" bestFit="1" customWidth="1"/>
    <col min="16146" max="16384" width="9.140625" style="409"/>
  </cols>
  <sheetData>
    <row r="1" spans="2:20" ht="20.25" customHeight="1" thickBot="1" x14ac:dyDescent="0.25">
      <c r="B1" s="405"/>
      <c r="C1" s="405"/>
      <c r="D1" s="405"/>
      <c r="E1" s="406"/>
      <c r="F1" s="406"/>
      <c r="G1" s="405"/>
      <c r="H1" s="405"/>
      <c r="I1" s="407"/>
      <c r="J1" s="407"/>
      <c r="K1" s="405"/>
      <c r="L1" s="405"/>
      <c r="M1" s="405"/>
    </row>
    <row r="2" spans="2:20" ht="24" customHeight="1" x14ac:dyDescent="0.2">
      <c r="B2" s="586" t="s">
        <v>505</v>
      </c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8"/>
    </row>
    <row r="3" spans="2:20" ht="24" customHeight="1" x14ac:dyDescent="0.2">
      <c r="B3" s="589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1"/>
    </row>
    <row r="4" spans="2:20" ht="54" customHeight="1" thickBot="1" x14ac:dyDescent="0.25">
      <c r="B4" s="592"/>
      <c r="C4" s="593"/>
      <c r="D4" s="593"/>
      <c r="E4" s="593"/>
      <c r="F4" s="593"/>
      <c r="G4" s="593"/>
      <c r="H4" s="593"/>
      <c r="I4" s="593"/>
      <c r="J4" s="593"/>
      <c r="K4" s="593"/>
      <c r="L4" s="593"/>
      <c r="M4" s="594"/>
    </row>
    <row r="5" spans="2:20" ht="30" customHeight="1" x14ac:dyDescent="0.2">
      <c r="B5" s="595" t="s">
        <v>506</v>
      </c>
      <c r="C5" s="596"/>
      <c r="D5" s="596"/>
      <c r="E5" s="596"/>
      <c r="F5" s="596"/>
      <c r="G5" s="596"/>
      <c r="H5" s="596"/>
      <c r="I5" s="596"/>
      <c r="J5" s="596"/>
      <c r="K5" s="596"/>
      <c r="L5" s="596"/>
      <c r="M5" s="597"/>
    </row>
    <row r="6" spans="2:20" ht="30" customHeight="1" x14ac:dyDescent="0.2">
      <c r="B6" s="598" t="s">
        <v>507</v>
      </c>
      <c r="C6" s="599"/>
      <c r="D6" s="599"/>
      <c r="E6" s="599"/>
      <c r="F6" s="599"/>
      <c r="G6" s="599"/>
      <c r="H6" s="599"/>
      <c r="I6" s="599"/>
      <c r="J6" s="599"/>
      <c r="K6" s="599"/>
      <c r="L6" s="599"/>
      <c r="M6" s="600"/>
      <c r="N6" s="601" t="s">
        <v>508</v>
      </c>
      <c r="O6" s="601"/>
      <c r="P6" s="601"/>
    </row>
    <row r="7" spans="2:20" ht="31.5" customHeight="1" x14ac:dyDescent="0.2">
      <c r="B7" s="602" t="s">
        <v>509</v>
      </c>
      <c r="C7" s="602"/>
      <c r="D7" s="603" t="s">
        <v>510</v>
      </c>
      <c r="E7" s="604"/>
      <c r="F7" s="604"/>
      <c r="G7" s="604"/>
      <c r="H7" s="604"/>
      <c r="I7" s="604"/>
      <c r="J7" s="604"/>
      <c r="K7" s="604"/>
      <c r="L7" s="604"/>
      <c r="M7" s="604"/>
      <c r="N7" s="410" t="s">
        <v>511</v>
      </c>
      <c r="O7" s="410" t="s">
        <v>512</v>
      </c>
      <c r="P7" s="410" t="s">
        <v>513</v>
      </c>
    </row>
    <row r="8" spans="2:20" ht="30.4" customHeight="1" x14ac:dyDescent="0.2">
      <c r="B8" s="602" t="s">
        <v>514</v>
      </c>
      <c r="C8" s="602"/>
      <c r="D8" s="615" t="s">
        <v>515</v>
      </c>
      <c r="E8" s="616"/>
      <c r="F8" s="616"/>
      <c r="G8" s="616"/>
      <c r="H8" s="616"/>
      <c r="I8" s="616"/>
      <c r="J8" s="616"/>
      <c r="K8" s="616"/>
      <c r="L8" s="616"/>
      <c r="M8" s="616"/>
      <c r="N8" s="410">
        <v>14</v>
      </c>
      <c r="O8" s="411">
        <v>5</v>
      </c>
      <c r="P8" s="412">
        <f>230000/N8</f>
        <v>16428.571428571428</v>
      </c>
    </row>
    <row r="9" spans="2:20" ht="31.9" customHeight="1" x14ac:dyDescent="0.2">
      <c r="B9" s="617" t="s">
        <v>516</v>
      </c>
      <c r="C9" s="617"/>
      <c r="D9" s="618" t="s">
        <v>517</v>
      </c>
      <c r="E9" s="619"/>
      <c r="F9" s="619"/>
      <c r="G9" s="619"/>
      <c r="H9" s="619"/>
      <c r="I9" s="619"/>
      <c r="J9" s="619"/>
      <c r="K9" s="619"/>
      <c r="L9" s="619"/>
      <c r="M9" s="619"/>
      <c r="N9" s="411">
        <v>13</v>
      </c>
      <c r="O9" s="411">
        <v>4</v>
      </c>
      <c r="P9" s="412">
        <f>213000/N9</f>
        <v>16384.615384615383</v>
      </c>
      <c r="Q9" s="413"/>
    </row>
    <row r="10" spans="2:20" ht="108.75" customHeight="1" x14ac:dyDescent="0.2">
      <c r="B10" s="620" t="s">
        <v>518</v>
      </c>
      <c r="C10" s="620"/>
      <c r="D10" s="621" t="s">
        <v>676</v>
      </c>
      <c r="E10" s="604"/>
      <c r="F10" s="604"/>
      <c r="G10" s="604"/>
      <c r="H10" s="604"/>
      <c r="I10" s="604"/>
      <c r="J10" s="604"/>
      <c r="K10" s="604"/>
      <c r="L10" s="604"/>
      <c r="M10" s="622"/>
      <c r="P10" s="405"/>
    </row>
    <row r="11" spans="2:20" ht="30" x14ac:dyDescent="0.2">
      <c r="B11" s="605" t="s">
        <v>519</v>
      </c>
      <c r="C11" s="605"/>
      <c r="D11" s="606" t="s">
        <v>678</v>
      </c>
      <c r="E11" s="607"/>
      <c r="F11" s="607"/>
      <c r="G11" s="607"/>
      <c r="H11" s="607"/>
      <c r="I11" s="607"/>
      <c r="J11" s="607"/>
      <c r="K11" s="607"/>
      <c r="L11" s="607"/>
      <c r="M11" s="607"/>
    </row>
    <row r="12" spans="2:20" ht="30" customHeight="1" x14ac:dyDescent="0.2">
      <c r="B12" s="608" t="s">
        <v>520</v>
      </c>
      <c r="C12" s="609"/>
      <c r="D12" s="609"/>
      <c r="E12" s="609"/>
      <c r="F12" s="609"/>
      <c r="G12" s="609"/>
      <c r="H12" s="609"/>
      <c r="I12" s="609"/>
      <c r="J12" s="609"/>
      <c r="K12" s="609"/>
      <c r="L12" s="609"/>
      <c r="M12" s="610"/>
    </row>
    <row r="13" spans="2:20" s="417" customFormat="1" ht="34.5" customHeight="1" x14ac:dyDescent="0.2">
      <c r="B13" s="611" t="s">
        <v>521</v>
      </c>
      <c r="C13" s="612"/>
      <c r="D13" s="414" t="s">
        <v>544</v>
      </c>
      <c r="E13" s="415" t="s">
        <v>523</v>
      </c>
      <c r="F13" s="415" t="s">
        <v>524</v>
      </c>
      <c r="G13" s="415" t="s">
        <v>525</v>
      </c>
      <c r="H13" s="415" t="s">
        <v>526</v>
      </c>
      <c r="I13" s="613" t="s">
        <v>527</v>
      </c>
      <c r="J13" s="613"/>
      <c r="K13" s="613"/>
      <c r="L13" s="613" t="s">
        <v>528</v>
      </c>
      <c r="M13" s="614"/>
      <c r="N13" s="408"/>
      <c r="O13" s="408"/>
      <c r="P13" s="408"/>
      <c r="Q13" s="408"/>
      <c r="R13" s="408"/>
      <c r="S13" s="416"/>
      <c r="T13" s="416"/>
    </row>
    <row r="14" spans="2:20" ht="15.75" x14ac:dyDescent="0.2">
      <c r="B14" s="623" t="s">
        <v>529</v>
      </c>
      <c r="C14" s="620"/>
      <c r="D14" s="440" t="s">
        <v>546</v>
      </c>
      <c r="E14" s="420">
        <v>1</v>
      </c>
      <c r="F14" s="439">
        <v>0.06</v>
      </c>
      <c r="G14" s="421" t="s">
        <v>530</v>
      </c>
      <c r="H14" s="422" t="s">
        <v>531</v>
      </c>
      <c r="I14" s="624" t="s">
        <v>547</v>
      </c>
      <c r="J14" s="624"/>
      <c r="K14" s="624"/>
      <c r="L14" s="624" t="s">
        <v>677</v>
      </c>
      <c r="M14" s="625"/>
    </row>
    <row r="15" spans="2:20" ht="15.75" x14ac:dyDescent="0.2">
      <c r="B15" s="623" t="s">
        <v>533</v>
      </c>
      <c r="C15" s="620"/>
      <c r="D15" s="440" t="s">
        <v>663</v>
      </c>
      <c r="E15" s="419" t="s">
        <v>553</v>
      </c>
      <c r="F15" s="439"/>
      <c r="G15" s="421" t="s">
        <v>530</v>
      </c>
      <c r="H15" s="422" t="s">
        <v>531</v>
      </c>
      <c r="I15" s="624" t="s">
        <v>554</v>
      </c>
      <c r="J15" s="624"/>
      <c r="K15" s="624"/>
      <c r="L15" s="624" t="s">
        <v>677</v>
      </c>
      <c r="M15" s="625"/>
    </row>
    <row r="16" spans="2:20" ht="15.75" x14ac:dyDescent="0.2">
      <c r="B16" s="623" t="s">
        <v>536</v>
      </c>
      <c r="C16" s="620"/>
      <c r="D16" s="440" t="s">
        <v>549</v>
      </c>
      <c r="E16" s="420">
        <v>0.15</v>
      </c>
      <c r="F16" s="439"/>
      <c r="G16" s="421" t="s">
        <v>530</v>
      </c>
      <c r="H16" s="422" t="s">
        <v>531</v>
      </c>
      <c r="I16" s="624" t="s">
        <v>550</v>
      </c>
      <c r="J16" s="624"/>
      <c r="K16" s="624"/>
      <c r="L16" s="624" t="s">
        <v>677</v>
      </c>
      <c r="M16" s="625"/>
    </row>
    <row r="17" spans="2:20" ht="15.75" x14ac:dyDescent="0.2">
      <c r="B17" s="623" t="s">
        <v>539</v>
      </c>
      <c r="C17" s="620"/>
      <c r="D17" s="440" t="s">
        <v>552</v>
      </c>
      <c r="E17" s="419" t="s">
        <v>553</v>
      </c>
      <c r="F17" s="439">
        <v>0.06</v>
      </c>
      <c r="G17" s="421" t="s">
        <v>530</v>
      </c>
      <c r="H17" s="422" t="s">
        <v>531</v>
      </c>
      <c r="I17" s="624" t="s">
        <v>554</v>
      </c>
      <c r="J17" s="624"/>
      <c r="K17" s="624"/>
      <c r="L17" s="624" t="s">
        <v>677</v>
      </c>
      <c r="M17" s="625"/>
    </row>
    <row r="18" spans="2:20" ht="15.75" x14ac:dyDescent="0.2">
      <c r="B18" s="623" t="s">
        <v>643</v>
      </c>
      <c r="C18" s="620"/>
      <c r="D18" s="440" t="s">
        <v>666</v>
      </c>
      <c r="E18" s="419" t="s">
        <v>48</v>
      </c>
      <c r="F18" s="439"/>
      <c r="G18" s="421" t="s">
        <v>530</v>
      </c>
      <c r="H18" s="422" t="s">
        <v>531</v>
      </c>
      <c r="I18" s="624" t="s">
        <v>554</v>
      </c>
      <c r="J18" s="624"/>
      <c r="K18" s="624"/>
      <c r="L18" s="624" t="s">
        <v>677</v>
      </c>
      <c r="M18" s="625"/>
    </row>
    <row r="19" spans="2:20" ht="15.75" x14ac:dyDescent="0.2">
      <c r="B19" s="623" t="s">
        <v>644</v>
      </c>
      <c r="C19" s="620"/>
      <c r="D19" s="440" t="s">
        <v>565</v>
      </c>
      <c r="E19" s="419" t="s">
        <v>564</v>
      </c>
      <c r="F19" s="439">
        <v>0.06</v>
      </c>
      <c r="G19" s="421" t="s">
        <v>530</v>
      </c>
      <c r="H19" s="422" t="s">
        <v>531</v>
      </c>
      <c r="I19" s="626" t="s">
        <v>554</v>
      </c>
      <c r="J19" s="627"/>
      <c r="K19" s="628"/>
      <c r="L19" s="624" t="s">
        <v>677</v>
      </c>
      <c r="M19" s="625"/>
    </row>
    <row r="20" spans="2:20" ht="15.75" x14ac:dyDescent="0.2">
      <c r="B20" s="623" t="s">
        <v>645</v>
      </c>
      <c r="C20" s="620"/>
      <c r="D20" s="440" t="s">
        <v>566</v>
      </c>
      <c r="E20" s="420">
        <v>0.8</v>
      </c>
      <c r="F20" s="439">
        <v>0.06</v>
      </c>
      <c r="G20" s="421" t="s">
        <v>530</v>
      </c>
      <c r="H20" s="422" t="s">
        <v>531</v>
      </c>
      <c r="I20" s="624" t="s">
        <v>567</v>
      </c>
      <c r="J20" s="624"/>
      <c r="K20" s="624"/>
      <c r="L20" s="624" t="s">
        <v>677</v>
      </c>
      <c r="M20" s="625"/>
    </row>
    <row r="21" spans="2:20" ht="15.75" customHeight="1" x14ac:dyDescent="0.2">
      <c r="B21" s="623" t="s">
        <v>646</v>
      </c>
      <c r="C21" s="620"/>
      <c r="D21" s="440" t="s">
        <v>558</v>
      </c>
      <c r="E21" s="420">
        <v>0.75</v>
      </c>
      <c r="F21" s="439">
        <v>0.06</v>
      </c>
      <c r="G21" s="421" t="s">
        <v>530</v>
      </c>
      <c r="H21" s="422" t="s">
        <v>531</v>
      </c>
      <c r="I21" s="624" t="s">
        <v>559</v>
      </c>
      <c r="J21" s="624"/>
      <c r="K21" s="624"/>
      <c r="L21" s="624" t="s">
        <v>677</v>
      </c>
      <c r="M21" s="625"/>
    </row>
    <row r="22" spans="2:20" ht="15.75" x14ac:dyDescent="0.2">
      <c r="B22" s="623" t="s">
        <v>647</v>
      </c>
      <c r="C22" s="620"/>
      <c r="D22" s="440" t="s">
        <v>563</v>
      </c>
      <c r="E22" s="419" t="s">
        <v>564</v>
      </c>
      <c r="F22" s="439"/>
      <c r="G22" s="421" t="s">
        <v>530</v>
      </c>
      <c r="H22" s="422" t="s">
        <v>531</v>
      </c>
      <c r="I22" s="624" t="s">
        <v>554</v>
      </c>
      <c r="J22" s="624"/>
      <c r="K22" s="624"/>
      <c r="L22" s="624" t="s">
        <v>677</v>
      </c>
      <c r="M22" s="625"/>
    </row>
    <row r="23" spans="2:20" ht="15.75" x14ac:dyDescent="0.2">
      <c r="B23" s="623" t="s">
        <v>648</v>
      </c>
      <c r="C23" s="620"/>
      <c r="D23" s="440" t="s">
        <v>561</v>
      </c>
      <c r="E23" s="419" t="s">
        <v>48</v>
      </c>
      <c r="F23" s="439"/>
      <c r="G23" s="421" t="s">
        <v>530</v>
      </c>
      <c r="H23" s="422" t="s">
        <v>531</v>
      </c>
      <c r="I23" s="624" t="s">
        <v>562</v>
      </c>
      <c r="J23" s="624"/>
      <c r="K23" s="624"/>
      <c r="L23" s="624" t="s">
        <v>677</v>
      </c>
      <c r="M23" s="625"/>
    </row>
    <row r="24" spans="2:20" ht="15.75" x14ac:dyDescent="0.2">
      <c r="B24" s="623" t="s">
        <v>649</v>
      </c>
      <c r="C24" s="620"/>
      <c r="D24" s="440" t="s">
        <v>657</v>
      </c>
      <c r="E24" s="420" t="s">
        <v>513</v>
      </c>
      <c r="F24" s="439"/>
      <c r="G24" s="421" t="s">
        <v>530</v>
      </c>
      <c r="H24" s="422" t="s">
        <v>531</v>
      </c>
      <c r="I24" s="624" t="s">
        <v>513</v>
      </c>
      <c r="J24" s="624"/>
      <c r="K24" s="624"/>
      <c r="L24" s="624" t="s">
        <v>677</v>
      </c>
      <c r="M24" s="625"/>
    </row>
    <row r="25" spans="2:20" ht="15.75" x14ac:dyDescent="0.2">
      <c r="B25" s="623" t="s">
        <v>650</v>
      </c>
      <c r="C25" s="620"/>
      <c r="D25" s="440" t="s">
        <v>570</v>
      </c>
      <c r="E25" s="419" t="s">
        <v>571</v>
      </c>
      <c r="F25" s="439">
        <v>0.06</v>
      </c>
      <c r="G25" s="421" t="s">
        <v>530</v>
      </c>
      <c r="H25" s="422" t="s">
        <v>531</v>
      </c>
      <c r="I25" s="626" t="s">
        <v>554</v>
      </c>
      <c r="J25" s="627"/>
      <c r="K25" s="628"/>
      <c r="L25" s="624" t="s">
        <v>677</v>
      </c>
      <c r="M25" s="625"/>
    </row>
    <row r="26" spans="2:20" ht="15.75" x14ac:dyDescent="0.2">
      <c r="B26" s="623" t="s">
        <v>651</v>
      </c>
      <c r="C26" s="620"/>
      <c r="D26" s="440" t="s">
        <v>569</v>
      </c>
      <c r="E26" s="419" t="s">
        <v>553</v>
      </c>
      <c r="F26" s="439">
        <v>0.06</v>
      </c>
      <c r="G26" s="421" t="s">
        <v>530</v>
      </c>
      <c r="H26" s="422" t="s">
        <v>531</v>
      </c>
      <c r="I26" s="626" t="s">
        <v>554</v>
      </c>
      <c r="J26" s="627"/>
      <c r="K26" s="628"/>
      <c r="L26" s="624" t="s">
        <v>677</v>
      </c>
      <c r="M26" s="625"/>
    </row>
    <row r="27" spans="2:20" ht="15.75" x14ac:dyDescent="0.2">
      <c r="B27" s="623" t="s">
        <v>652</v>
      </c>
      <c r="C27" s="620"/>
      <c r="D27" s="440" t="s">
        <v>556</v>
      </c>
      <c r="E27" s="419" t="s">
        <v>553</v>
      </c>
      <c r="F27" s="439">
        <v>0.06</v>
      </c>
      <c r="G27" s="421" t="s">
        <v>530</v>
      </c>
      <c r="H27" s="422" t="s">
        <v>531</v>
      </c>
      <c r="I27" s="624" t="s">
        <v>557</v>
      </c>
      <c r="J27" s="624"/>
      <c r="K27" s="624"/>
      <c r="L27" s="624" t="s">
        <v>677</v>
      </c>
      <c r="M27" s="625"/>
    </row>
    <row r="28" spans="2:20" ht="15.75" customHeight="1" x14ac:dyDescent="0.2">
      <c r="B28" s="623" t="s">
        <v>653</v>
      </c>
      <c r="C28" s="620"/>
      <c r="D28" s="440" t="s">
        <v>568</v>
      </c>
      <c r="E28" s="419" t="s">
        <v>553</v>
      </c>
      <c r="F28" s="439"/>
      <c r="G28" s="421" t="s">
        <v>530</v>
      </c>
      <c r="H28" s="422" t="s">
        <v>531</v>
      </c>
      <c r="I28" s="626" t="s">
        <v>554</v>
      </c>
      <c r="J28" s="627"/>
      <c r="K28" s="628"/>
      <c r="L28" s="624" t="s">
        <v>560</v>
      </c>
      <c r="M28" s="625"/>
    </row>
    <row r="29" spans="2:20" ht="15.75" x14ac:dyDescent="0.2">
      <c r="B29" s="623" t="s">
        <v>654</v>
      </c>
      <c r="C29" s="620"/>
      <c r="D29" s="440" t="s">
        <v>679</v>
      </c>
      <c r="E29" s="420">
        <v>0</v>
      </c>
      <c r="F29" s="439">
        <v>0.06</v>
      </c>
      <c r="G29" s="421" t="s">
        <v>530</v>
      </c>
      <c r="H29" s="422" t="s">
        <v>531</v>
      </c>
      <c r="I29" s="624" t="s">
        <v>572</v>
      </c>
      <c r="J29" s="624"/>
      <c r="K29" s="624"/>
      <c r="L29" s="624" t="s">
        <v>560</v>
      </c>
      <c r="M29" s="625"/>
    </row>
    <row r="30" spans="2:20" ht="15.75" x14ac:dyDescent="0.2">
      <c r="B30" s="623" t="s">
        <v>656</v>
      </c>
      <c r="C30" s="620"/>
      <c r="D30" s="440" t="s">
        <v>573</v>
      </c>
      <c r="E30" s="420">
        <v>0</v>
      </c>
      <c r="F30" s="439">
        <v>0.06</v>
      </c>
      <c r="G30" s="421" t="s">
        <v>530</v>
      </c>
      <c r="H30" s="422" t="s">
        <v>531</v>
      </c>
      <c r="I30" s="624" t="s">
        <v>554</v>
      </c>
      <c r="J30" s="624"/>
      <c r="K30" s="624"/>
      <c r="L30" s="624" t="s">
        <v>560</v>
      </c>
      <c r="M30" s="625"/>
    </row>
    <row r="31" spans="2:20" ht="15.75" x14ac:dyDescent="0.2">
      <c r="B31" s="623" t="s">
        <v>680</v>
      </c>
      <c r="C31" s="620"/>
      <c r="D31" s="440" t="s">
        <v>574</v>
      </c>
      <c r="E31" s="420">
        <v>0</v>
      </c>
      <c r="F31" s="439">
        <v>0.06</v>
      </c>
      <c r="G31" s="421" t="s">
        <v>530</v>
      </c>
      <c r="H31" s="422" t="s">
        <v>531</v>
      </c>
      <c r="I31" s="624" t="s">
        <v>575</v>
      </c>
      <c r="J31" s="624"/>
      <c r="K31" s="624"/>
      <c r="L31" s="624" t="s">
        <v>560</v>
      </c>
      <c r="M31" s="625"/>
    </row>
    <row r="32" spans="2:20" s="417" customFormat="1" ht="34.5" customHeight="1" x14ac:dyDescent="0.2">
      <c r="B32" s="611" t="s">
        <v>543</v>
      </c>
      <c r="C32" s="612"/>
      <c r="D32" s="414" t="s">
        <v>522</v>
      </c>
      <c r="E32" s="415" t="s">
        <v>523</v>
      </c>
      <c r="F32" s="415" t="s">
        <v>524</v>
      </c>
      <c r="G32" s="415" t="s">
        <v>525</v>
      </c>
      <c r="H32" s="415" t="s">
        <v>526</v>
      </c>
      <c r="I32" s="613" t="s">
        <v>527</v>
      </c>
      <c r="J32" s="613"/>
      <c r="K32" s="613"/>
      <c r="L32" s="613" t="s">
        <v>528</v>
      </c>
      <c r="M32" s="614"/>
      <c r="N32" s="408"/>
      <c r="O32" s="408"/>
      <c r="P32" s="408"/>
      <c r="Q32" s="408"/>
      <c r="R32" s="408"/>
      <c r="S32" s="416"/>
      <c r="T32" s="416"/>
    </row>
    <row r="33" spans="2:20" ht="15.75" x14ac:dyDescent="0.2">
      <c r="B33" s="623" t="s">
        <v>545</v>
      </c>
      <c r="C33" s="620"/>
      <c r="D33" s="418" t="s">
        <v>655</v>
      </c>
      <c r="E33" s="420">
        <v>1</v>
      </c>
      <c r="F33" s="420">
        <v>0.15</v>
      </c>
      <c r="G33" s="421" t="s">
        <v>530</v>
      </c>
      <c r="H33" s="422" t="s">
        <v>531</v>
      </c>
      <c r="I33" s="624" t="s">
        <v>685</v>
      </c>
      <c r="J33" s="624"/>
      <c r="K33" s="624"/>
      <c r="L33" s="624" t="s">
        <v>532</v>
      </c>
      <c r="M33" s="625"/>
    </row>
    <row r="34" spans="2:20" ht="15.75" x14ac:dyDescent="0.2">
      <c r="B34" s="623" t="s">
        <v>548</v>
      </c>
      <c r="C34" s="620"/>
      <c r="D34" s="418" t="s">
        <v>686</v>
      </c>
      <c r="E34" s="419">
        <v>4</v>
      </c>
      <c r="F34" s="420">
        <v>0.15</v>
      </c>
      <c r="G34" s="421" t="s">
        <v>530</v>
      </c>
      <c r="H34" s="422" t="s">
        <v>531</v>
      </c>
      <c r="I34" s="624" t="s">
        <v>534</v>
      </c>
      <c r="J34" s="624"/>
      <c r="K34" s="624"/>
      <c r="L34" s="624" t="s">
        <v>535</v>
      </c>
      <c r="M34" s="625"/>
    </row>
    <row r="35" spans="2:20" ht="15.75" x14ac:dyDescent="0.2">
      <c r="B35" s="623" t="s">
        <v>551</v>
      </c>
      <c r="C35" s="620"/>
      <c r="D35" s="418" t="s">
        <v>682</v>
      </c>
      <c r="E35" s="419">
        <v>12</v>
      </c>
      <c r="F35" s="420">
        <v>0.1</v>
      </c>
      <c r="G35" s="421" t="s">
        <v>530</v>
      </c>
      <c r="H35" s="422" t="s">
        <v>531</v>
      </c>
      <c r="I35" s="624" t="s">
        <v>537</v>
      </c>
      <c r="J35" s="624"/>
      <c r="K35" s="624"/>
      <c r="L35" s="624" t="s">
        <v>538</v>
      </c>
      <c r="M35" s="625"/>
    </row>
    <row r="36" spans="2:20" ht="15.75" x14ac:dyDescent="0.2">
      <c r="B36" s="623" t="s">
        <v>555</v>
      </c>
      <c r="C36" s="620"/>
      <c r="D36" s="418" t="s">
        <v>540</v>
      </c>
      <c r="E36" s="420">
        <v>1</v>
      </c>
      <c r="F36" s="420"/>
      <c r="G36" s="421" t="s">
        <v>530</v>
      </c>
      <c r="H36" s="422" t="s">
        <v>531</v>
      </c>
      <c r="I36" s="624" t="s">
        <v>541</v>
      </c>
      <c r="J36" s="624"/>
      <c r="K36" s="624"/>
      <c r="L36" s="624" t="s">
        <v>542</v>
      </c>
      <c r="M36" s="625"/>
    </row>
    <row r="37" spans="2:20" s="417" customFormat="1" ht="34.5" customHeight="1" x14ac:dyDescent="0.2">
      <c r="B37" s="611" t="s">
        <v>576</v>
      </c>
      <c r="C37" s="612"/>
      <c r="D37" s="414"/>
      <c r="E37" s="415" t="s">
        <v>523</v>
      </c>
      <c r="F37" s="415" t="s">
        <v>524</v>
      </c>
      <c r="G37" s="415" t="s">
        <v>525</v>
      </c>
      <c r="H37" s="415" t="s">
        <v>526</v>
      </c>
      <c r="I37" s="613" t="s">
        <v>527</v>
      </c>
      <c r="J37" s="613"/>
      <c r="K37" s="613"/>
      <c r="L37" s="613" t="s">
        <v>528</v>
      </c>
      <c r="M37" s="614"/>
      <c r="N37" s="408"/>
      <c r="O37" s="408"/>
      <c r="P37" s="408"/>
      <c r="Q37" s="408"/>
      <c r="R37" s="408"/>
      <c r="S37" s="416"/>
      <c r="T37" s="416"/>
    </row>
    <row r="38" spans="2:20" ht="18.95" customHeight="1" x14ac:dyDescent="0.2">
      <c r="B38" s="623" t="s">
        <v>577</v>
      </c>
      <c r="C38" s="620"/>
      <c r="D38" s="418" t="s">
        <v>664</v>
      </c>
      <c r="E38" s="419">
        <v>2</v>
      </c>
      <c r="F38" s="420"/>
      <c r="G38" s="421" t="s">
        <v>530</v>
      </c>
      <c r="H38" s="422" t="s">
        <v>531</v>
      </c>
      <c r="I38" s="624"/>
      <c r="J38" s="624"/>
      <c r="K38" s="624"/>
      <c r="L38" s="624"/>
      <c r="M38" s="625"/>
    </row>
    <row r="39" spans="2:20" s="417" customFormat="1" ht="34.5" customHeight="1" x14ac:dyDescent="0.2">
      <c r="B39" s="611" t="s">
        <v>583</v>
      </c>
      <c r="C39" s="612"/>
      <c r="D39" s="414"/>
      <c r="E39" s="415" t="s">
        <v>523</v>
      </c>
      <c r="F39" s="415" t="s">
        <v>524</v>
      </c>
      <c r="G39" s="415" t="s">
        <v>525</v>
      </c>
      <c r="H39" s="415" t="s">
        <v>526</v>
      </c>
      <c r="I39" s="613" t="s">
        <v>527</v>
      </c>
      <c r="J39" s="613"/>
      <c r="K39" s="613"/>
      <c r="L39" s="613" t="s">
        <v>528</v>
      </c>
      <c r="M39" s="614"/>
      <c r="N39" s="408"/>
      <c r="O39" s="408"/>
      <c r="P39" s="408"/>
      <c r="Q39" s="408"/>
      <c r="R39" s="408"/>
      <c r="S39" s="416"/>
      <c r="T39" s="416"/>
    </row>
    <row r="40" spans="2:20" ht="18.95" customHeight="1" x14ac:dyDescent="0.2">
      <c r="B40" s="623" t="s">
        <v>584</v>
      </c>
      <c r="C40" s="620"/>
      <c r="D40" s="418" t="s">
        <v>578</v>
      </c>
      <c r="E40" s="419">
        <v>2</v>
      </c>
      <c r="F40" s="420"/>
      <c r="G40" s="421" t="s">
        <v>530</v>
      </c>
      <c r="H40" s="422" t="s">
        <v>531</v>
      </c>
      <c r="I40" s="624" t="s">
        <v>579</v>
      </c>
      <c r="J40" s="624"/>
      <c r="K40" s="624"/>
      <c r="L40" s="624" t="s">
        <v>580</v>
      </c>
      <c r="M40" s="625"/>
    </row>
    <row r="41" spans="2:20" ht="18.95" customHeight="1" x14ac:dyDescent="0.2">
      <c r="B41" s="623" t="s">
        <v>585</v>
      </c>
      <c r="C41" s="620"/>
      <c r="D41" s="418" t="s">
        <v>581</v>
      </c>
      <c r="E41" s="419"/>
      <c r="F41" s="420"/>
      <c r="G41" s="421" t="s">
        <v>530</v>
      </c>
      <c r="H41" s="422" t="s">
        <v>531</v>
      </c>
      <c r="I41" s="624"/>
      <c r="J41" s="624"/>
      <c r="K41" s="624"/>
      <c r="L41" s="624"/>
      <c r="M41" s="625"/>
    </row>
    <row r="42" spans="2:20" ht="15.75" x14ac:dyDescent="0.2">
      <c r="B42" s="623" t="s">
        <v>665</v>
      </c>
      <c r="C42" s="620"/>
      <c r="D42" s="418" t="s">
        <v>582</v>
      </c>
      <c r="E42" s="419"/>
      <c r="F42" s="420"/>
      <c r="G42" s="421" t="s">
        <v>530</v>
      </c>
      <c r="H42" s="422" t="s">
        <v>531</v>
      </c>
      <c r="I42" s="624"/>
      <c r="J42" s="624"/>
      <c r="K42" s="624"/>
      <c r="L42" s="624"/>
      <c r="M42" s="625"/>
    </row>
    <row r="43" spans="2:20" ht="26.25" x14ac:dyDescent="0.2">
      <c r="B43" s="608" t="s">
        <v>586</v>
      </c>
      <c r="C43" s="609"/>
      <c r="D43" s="609"/>
      <c r="E43" s="609"/>
      <c r="F43" s="609"/>
      <c r="G43" s="609"/>
      <c r="H43" s="609"/>
      <c r="I43" s="609"/>
      <c r="J43" s="609"/>
      <c r="K43" s="609"/>
      <c r="L43" s="609"/>
      <c r="M43" s="610"/>
    </row>
    <row r="44" spans="2:20" ht="30" customHeight="1" x14ac:dyDescent="0.2">
      <c r="B44" s="629" t="s">
        <v>587</v>
      </c>
      <c r="C44" s="630"/>
      <c r="D44" s="630"/>
      <c r="E44" s="423" t="s">
        <v>588</v>
      </c>
      <c r="F44" s="423" t="s">
        <v>589</v>
      </c>
      <c r="G44" s="631" t="s">
        <v>590</v>
      </c>
      <c r="H44" s="631"/>
      <c r="I44" s="631"/>
      <c r="J44" s="631" t="s">
        <v>591</v>
      </c>
      <c r="K44" s="631"/>
      <c r="L44" s="631"/>
      <c r="M44" s="632"/>
    </row>
    <row r="45" spans="2:20" ht="15" x14ac:dyDescent="0.2">
      <c r="B45" s="633" t="s">
        <v>592</v>
      </c>
      <c r="C45" s="634"/>
      <c r="D45" s="634"/>
      <c r="E45" s="424"/>
      <c r="F45" s="424"/>
      <c r="G45" s="635" t="s">
        <v>593</v>
      </c>
      <c r="H45" s="635"/>
      <c r="I45" s="635"/>
      <c r="J45" s="635" t="s">
        <v>594</v>
      </c>
      <c r="K45" s="635"/>
      <c r="L45" s="635"/>
      <c r="M45" s="636"/>
    </row>
    <row r="46" spans="2:20" ht="15" x14ac:dyDescent="0.2">
      <c r="B46" s="633" t="s">
        <v>595</v>
      </c>
      <c r="C46" s="634"/>
      <c r="D46" s="634"/>
      <c r="E46" s="424"/>
      <c r="F46" s="424"/>
      <c r="G46" s="635" t="s">
        <v>593</v>
      </c>
      <c r="H46" s="635"/>
      <c r="I46" s="635"/>
      <c r="J46" s="635" t="s">
        <v>594</v>
      </c>
      <c r="K46" s="635"/>
      <c r="L46" s="635"/>
      <c r="M46" s="636"/>
    </row>
    <row r="47" spans="2:20" ht="15" x14ac:dyDescent="0.2">
      <c r="B47" s="633" t="s">
        <v>596</v>
      </c>
      <c r="C47" s="634"/>
      <c r="D47" s="634"/>
      <c r="E47" s="424"/>
      <c r="F47" s="424"/>
      <c r="G47" s="635" t="s">
        <v>593</v>
      </c>
      <c r="H47" s="635"/>
      <c r="I47" s="635"/>
      <c r="J47" s="635" t="s">
        <v>594</v>
      </c>
      <c r="K47" s="635"/>
      <c r="L47" s="635"/>
      <c r="M47" s="636"/>
    </row>
    <row r="48" spans="2:20" ht="15" x14ac:dyDescent="0.2">
      <c r="B48" s="633" t="s">
        <v>597</v>
      </c>
      <c r="C48" s="634"/>
      <c r="D48" s="634"/>
      <c r="E48" s="424"/>
      <c r="F48" s="424"/>
      <c r="G48" s="635" t="s">
        <v>593</v>
      </c>
      <c r="H48" s="635"/>
      <c r="I48" s="635"/>
      <c r="J48" s="635" t="s">
        <v>594</v>
      </c>
      <c r="K48" s="635"/>
      <c r="L48" s="635"/>
      <c r="M48" s="636"/>
    </row>
    <row r="49" spans="2:20" ht="15" x14ac:dyDescent="0.2">
      <c r="B49" s="633" t="s">
        <v>598</v>
      </c>
      <c r="C49" s="634"/>
      <c r="D49" s="634"/>
      <c r="E49" s="424"/>
      <c r="F49" s="424"/>
      <c r="G49" s="635" t="s">
        <v>593</v>
      </c>
      <c r="H49" s="635"/>
      <c r="I49" s="635"/>
      <c r="J49" s="635" t="s">
        <v>594</v>
      </c>
      <c r="K49" s="635"/>
      <c r="L49" s="635"/>
      <c r="M49" s="636"/>
    </row>
    <row r="50" spans="2:20" ht="15" x14ac:dyDescent="0.2">
      <c r="B50" s="633" t="s">
        <v>599</v>
      </c>
      <c r="C50" s="634"/>
      <c r="D50" s="634"/>
      <c r="E50" s="424"/>
      <c r="F50" s="424"/>
      <c r="G50" s="635" t="s">
        <v>593</v>
      </c>
      <c r="H50" s="635"/>
      <c r="I50" s="635"/>
      <c r="J50" s="635" t="s">
        <v>594</v>
      </c>
      <c r="K50" s="635"/>
      <c r="L50" s="635"/>
      <c r="M50" s="636"/>
    </row>
    <row r="51" spans="2:20" ht="15" x14ac:dyDescent="0.2">
      <c r="B51" s="633" t="s">
        <v>600</v>
      </c>
      <c r="C51" s="634"/>
      <c r="D51" s="634"/>
      <c r="E51" s="424"/>
      <c r="F51" s="424"/>
      <c r="G51" s="635"/>
      <c r="H51" s="635"/>
      <c r="I51" s="635"/>
      <c r="J51" s="635"/>
      <c r="K51" s="635"/>
      <c r="L51" s="635"/>
      <c r="M51" s="636"/>
    </row>
    <row r="52" spans="2:20" ht="30" customHeight="1" x14ac:dyDescent="0.2">
      <c r="B52" s="637" t="s">
        <v>601</v>
      </c>
      <c r="C52" s="638"/>
      <c r="D52" s="639"/>
      <c r="E52" s="423" t="s">
        <v>588</v>
      </c>
      <c r="F52" s="423" t="s">
        <v>589</v>
      </c>
      <c r="G52" s="640" t="s">
        <v>602</v>
      </c>
      <c r="H52" s="641"/>
      <c r="I52" s="642"/>
      <c r="J52" s="643" t="s">
        <v>603</v>
      </c>
      <c r="K52" s="644"/>
      <c r="L52" s="644"/>
      <c r="M52" s="645"/>
    </row>
    <row r="53" spans="2:20" ht="15" customHeight="1" x14ac:dyDescent="0.2">
      <c r="B53" s="633" t="s">
        <v>604</v>
      </c>
      <c r="C53" s="634"/>
      <c r="D53" s="634"/>
      <c r="E53" s="425" t="s">
        <v>605</v>
      </c>
      <c r="F53" s="424"/>
      <c r="G53" s="635" t="s">
        <v>606</v>
      </c>
      <c r="H53" s="635"/>
      <c r="I53" s="635"/>
      <c r="J53" s="635" t="s">
        <v>594</v>
      </c>
      <c r="K53" s="635"/>
      <c r="L53" s="635"/>
      <c r="M53" s="636"/>
    </row>
    <row r="54" spans="2:20" ht="15" customHeight="1" x14ac:dyDescent="0.2">
      <c r="B54" s="633" t="s">
        <v>607</v>
      </c>
      <c r="C54" s="634"/>
      <c r="D54" s="634"/>
      <c r="E54" s="425" t="s">
        <v>605</v>
      </c>
      <c r="F54" s="424"/>
      <c r="G54" s="635" t="s">
        <v>608</v>
      </c>
      <c r="H54" s="635"/>
      <c r="I54" s="635"/>
      <c r="J54" s="635" t="s">
        <v>594</v>
      </c>
      <c r="K54" s="635"/>
      <c r="L54" s="635"/>
      <c r="M54" s="636"/>
    </row>
    <row r="55" spans="2:20" ht="15" customHeight="1" x14ac:dyDescent="0.2">
      <c r="B55" s="633" t="s">
        <v>609</v>
      </c>
      <c r="C55" s="634"/>
      <c r="D55" s="634"/>
      <c r="E55" s="425" t="s">
        <v>605</v>
      </c>
      <c r="F55" s="424"/>
      <c r="G55" s="635" t="s">
        <v>610</v>
      </c>
      <c r="H55" s="635"/>
      <c r="I55" s="635"/>
      <c r="J55" s="635" t="s">
        <v>594</v>
      </c>
      <c r="K55" s="635"/>
      <c r="L55" s="635"/>
      <c r="M55" s="636"/>
    </row>
    <row r="56" spans="2:20" ht="37.15" customHeight="1" x14ac:dyDescent="0.2">
      <c r="B56" s="646" t="s">
        <v>611</v>
      </c>
      <c r="C56" s="647"/>
      <c r="D56" s="647"/>
      <c r="E56" s="423" t="s">
        <v>588</v>
      </c>
      <c r="F56" s="423" t="s">
        <v>589</v>
      </c>
      <c r="G56" s="648" t="s">
        <v>612</v>
      </c>
      <c r="H56" s="648"/>
      <c r="I56" s="648"/>
      <c r="J56" s="648" t="s">
        <v>613</v>
      </c>
      <c r="K56" s="648"/>
      <c r="L56" s="648"/>
      <c r="M56" s="649"/>
    </row>
    <row r="57" spans="2:20" ht="30" customHeight="1" x14ac:dyDescent="0.2">
      <c r="B57" s="633"/>
      <c r="C57" s="634"/>
      <c r="D57" s="634"/>
      <c r="E57" s="650"/>
      <c r="F57" s="650"/>
      <c r="G57" s="651"/>
      <c r="H57" s="651"/>
      <c r="I57" s="651"/>
      <c r="J57" s="652"/>
      <c r="K57" s="652"/>
      <c r="L57" s="652"/>
      <c r="M57" s="653"/>
    </row>
    <row r="58" spans="2:20" ht="23.25" x14ac:dyDescent="0.2">
      <c r="B58" s="608" t="s">
        <v>614</v>
      </c>
      <c r="C58" s="655"/>
      <c r="D58" s="655"/>
      <c r="E58" s="655"/>
      <c r="F58" s="655"/>
      <c r="G58" s="655"/>
      <c r="H58" s="655"/>
      <c r="I58" s="655"/>
      <c r="J58" s="655"/>
      <c r="K58" s="655"/>
      <c r="L58" s="655"/>
      <c r="M58" s="656"/>
    </row>
    <row r="59" spans="2:20" ht="30" customHeight="1" x14ac:dyDescent="0.2">
      <c r="B59" s="658" t="s">
        <v>615</v>
      </c>
      <c r="C59" s="658"/>
      <c r="D59" s="658"/>
      <c r="E59" s="658" t="s">
        <v>616</v>
      </c>
      <c r="F59" s="658"/>
      <c r="G59" s="658"/>
      <c r="H59" s="658"/>
      <c r="I59" s="658"/>
      <c r="J59" s="658"/>
      <c r="K59" s="658"/>
      <c r="L59" s="658"/>
      <c r="M59" s="426" t="s">
        <v>617</v>
      </c>
    </row>
    <row r="60" spans="2:20" s="429" customFormat="1" ht="15.75" x14ac:dyDescent="0.2">
      <c r="B60" s="654"/>
      <c r="C60" s="654"/>
      <c r="D60" s="654"/>
      <c r="E60" s="654"/>
      <c r="F60" s="654"/>
      <c r="G60" s="654"/>
      <c r="H60" s="654"/>
      <c r="I60" s="654"/>
      <c r="J60" s="654"/>
      <c r="K60" s="654"/>
      <c r="L60" s="654"/>
      <c r="M60" s="427"/>
      <c r="N60" s="428"/>
      <c r="O60" s="428"/>
      <c r="P60" s="428"/>
      <c r="Q60" s="428"/>
      <c r="R60" s="428"/>
      <c r="S60" s="428"/>
      <c r="T60" s="428"/>
    </row>
    <row r="61" spans="2:20" ht="30" customHeight="1" x14ac:dyDescent="0.2">
      <c r="B61" s="658" t="s">
        <v>618</v>
      </c>
      <c r="C61" s="658"/>
      <c r="D61" s="658"/>
      <c r="E61" s="658" t="s">
        <v>616</v>
      </c>
      <c r="F61" s="658"/>
      <c r="G61" s="658"/>
      <c r="H61" s="658"/>
      <c r="I61" s="658"/>
      <c r="J61" s="658"/>
      <c r="K61" s="658"/>
      <c r="L61" s="658"/>
      <c r="M61" s="426" t="s">
        <v>617</v>
      </c>
    </row>
    <row r="62" spans="2:20" ht="15.75" x14ac:dyDescent="0.2">
      <c r="B62" s="654"/>
      <c r="C62" s="654"/>
      <c r="D62" s="654"/>
      <c r="E62" s="654"/>
      <c r="F62" s="654"/>
      <c r="G62" s="654"/>
      <c r="H62" s="654"/>
      <c r="I62" s="654"/>
      <c r="J62" s="654"/>
      <c r="K62" s="654"/>
      <c r="L62" s="654"/>
      <c r="M62" s="427"/>
    </row>
    <row r="63" spans="2:20" ht="24.95" customHeight="1" x14ac:dyDescent="0.2">
      <c r="B63" s="608" t="s">
        <v>619</v>
      </c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6"/>
    </row>
    <row r="64" spans="2:20" ht="26.25" x14ac:dyDescent="0.2">
      <c r="B64" s="657" t="s">
        <v>620</v>
      </c>
      <c r="C64" s="658"/>
      <c r="D64" s="658"/>
      <c r="E64" s="658"/>
      <c r="F64" s="658"/>
      <c r="G64" s="658"/>
      <c r="H64" s="658"/>
      <c r="I64" s="659" t="s">
        <v>621</v>
      </c>
      <c r="J64" s="659"/>
      <c r="K64" s="659"/>
      <c r="L64" s="659" t="s">
        <v>622</v>
      </c>
      <c r="M64" s="660"/>
    </row>
    <row r="65" spans="2:13" ht="15.75" x14ac:dyDescent="0.2">
      <c r="B65" s="661"/>
      <c r="C65" s="662"/>
      <c r="D65" s="662"/>
      <c r="E65" s="662"/>
      <c r="F65" s="662"/>
      <c r="G65" s="662"/>
      <c r="H65" s="663"/>
      <c r="I65" s="654"/>
      <c r="J65" s="654"/>
      <c r="K65" s="654"/>
      <c r="L65" s="654"/>
      <c r="M65" s="664"/>
    </row>
    <row r="66" spans="2:13" ht="23.25" x14ac:dyDescent="0.2">
      <c r="B66" s="665" t="s">
        <v>623</v>
      </c>
      <c r="C66" s="655"/>
      <c r="D66" s="655"/>
      <c r="E66" s="655"/>
      <c r="F66" s="655"/>
      <c r="G66" s="655"/>
      <c r="H66" s="655"/>
      <c r="I66" s="655"/>
      <c r="J66" s="655"/>
      <c r="K66" s="655"/>
      <c r="L66" s="655"/>
      <c r="M66" s="656"/>
    </row>
    <row r="67" spans="2:13" ht="20.25" x14ac:dyDescent="0.2">
      <c r="B67" s="666" t="s">
        <v>624</v>
      </c>
      <c r="C67" s="667"/>
      <c r="D67" s="667"/>
      <c r="E67" s="648" t="s">
        <v>625</v>
      </c>
      <c r="F67" s="648"/>
      <c r="G67" s="648"/>
      <c r="H67" s="648" t="s">
        <v>626</v>
      </c>
      <c r="I67" s="648"/>
      <c r="J67" s="648" t="s">
        <v>627</v>
      </c>
      <c r="K67" s="648"/>
      <c r="L67" s="648" t="s">
        <v>628</v>
      </c>
      <c r="M67" s="649"/>
    </row>
    <row r="68" spans="2:13" ht="15" x14ac:dyDescent="0.2">
      <c r="B68" s="668" t="s">
        <v>629</v>
      </c>
      <c r="C68" s="669"/>
      <c r="D68" s="669"/>
      <c r="E68" s="635"/>
      <c r="F68" s="635"/>
      <c r="G68" s="635"/>
      <c r="H68" s="670"/>
      <c r="I68" s="635"/>
      <c r="J68" s="671"/>
      <c r="K68" s="671"/>
      <c r="L68" s="672"/>
      <c r="M68" s="673"/>
    </row>
    <row r="69" spans="2:13" ht="20.25" x14ac:dyDescent="0.2">
      <c r="B69" s="666" t="s">
        <v>630</v>
      </c>
      <c r="C69" s="667"/>
      <c r="D69" s="667"/>
      <c r="E69" s="648" t="s">
        <v>625</v>
      </c>
      <c r="F69" s="648"/>
      <c r="G69" s="648"/>
      <c r="H69" s="648" t="s">
        <v>631</v>
      </c>
      <c r="I69" s="648"/>
      <c r="J69" s="648" t="s">
        <v>632</v>
      </c>
      <c r="K69" s="648"/>
      <c r="L69" s="648" t="s">
        <v>628</v>
      </c>
      <c r="M69" s="649"/>
    </row>
    <row r="70" spans="2:13" x14ac:dyDescent="0.2">
      <c r="B70" s="680" t="s">
        <v>629</v>
      </c>
      <c r="C70" s="681"/>
      <c r="D70" s="681"/>
      <c r="E70" s="650"/>
      <c r="F70" s="650"/>
      <c r="G70" s="650"/>
      <c r="H70" s="683"/>
      <c r="I70" s="683"/>
      <c r="J70" s="684"/>
      <c r="K70" s="684"/>
      <c r="L70" s="685"/>
      <c r="M70" s="686"/>
    </row>
    <row r="71" spans="2:13" ht="20.25" x14ac:dyDescent="0.2">
      <c r="B71" s="666" t="s">
        <v>633</v>
      </c>
      <c r="C71" s="667"/>
      <c r="D71" s="667"/>
      <c r="E71" s="648" t="s">
        <v>625</v>
      </c>
      <c r="F71" s="648"/>
      <c r="G71" s="648"/>
      <c r="H71" s="648" t="s">
        <v>631</v>
      </c>
      <c r="I71" s="648"/>
      <c r="J71" s="648" t="s">
        <v>632</v>
      </c>
      <c r="K71" s="648"/>
      <c r="L71" s="648" t="s">
        <v>634</v>
      </c>
      <c r="M71" s="649"/>
    </row>
    <row r="72" spans="2:13" ht="15" x14ac:dyDescent="0.2">
      <c r="B72" s="680" t="s">
        <v>629</v>
      </c>
      <c r="C72" s="681"/>
      <c r="D72" s="681"/>
      <c r="E72" s="624"/>
      <c r="F72" s="624"/>
      <c r="G72" s="624"/>
      <c r="H72" s="682"/>
      <c r="I72" s="682"/>
      <c r="J72" s="682"/>
      <c r="K72" s="682"/>
      <c r="L72" s="672"/>
      <c r="M72" s="673"/>
    </row>
    <row r="73" spans="2:13" ht="23.25" x14ac:dyDescent="0.2">
      <c r="B73" s="665" t="s">
        <v>635</v>
      </c>
      <c r="C73" s="655"/>
      <c r="D73" s="655"/>
      <c r="E73" s="655"/>
      <c r="F73" s="655"/>
      <c r="G73" s="655"/>
      <c r="H73" s="655"/>
      <c r="I73" s="655"/>
      <c r="J73" s="655"/>
      <c r="K73" s="655"/>
      <c r="L73" s="655"/>
      <c r="M73" s="656"/>
    </row>
    <row r="74" spans="2:13" ht="20.25" x14ac:dyDescent="0.2">
      <c r="B74" s="666" t="s">
        <v>636</v>
      </c>
      <c r="C74" s="667"/>
      <c r="D74" s="667"/>
      <c r="E74" s="667"/>
      <c r="F74" s="667"/>
      <c r="G74" s="667"/>
      <c r="H74" s="674" t="s">
        <v>637</v>
      </c>
      <c r="I74" s="674"/>
      <c r="J74" s="674" t="s">
        <v>638</v>
      </c>
      <c r="K74" s="674"/>
      <c r="L74" s="674" t="s">
        <v>639</v>
      </c>
      <c r="M74" s="675"/>
    </row>
    <row r="75" spans="2:13" ht="15" thickBot="1" x14ac:dyDescent="0.25">
      <c r="B75" s="676"/>
      <c r="C75" s="677"/>
      <c r="D75" s="677"/>
      <c r="E75" s="677"/>
      <c r="F75" s="677"/>
      <c r="G75" s="677"/>
      <c r="H75" s="678"/>
      <c r="I75" s="678"/>
      <c r="J75" s="678"/>
      <c r="K75" s="678"/>
      <c r="L75" s="678"/>
      <c r="M75" s="679"/>
    </row>
    <row r="76" spans="2:13" x14ac:dyDescent="0.2">
      <c r="B76" s="430"/>
      <c r="C76" s="430"/>
      <c r="D76" s="430"/>
      <c r="E76" s="431"/>
      <c r="F76" s="431"/>
      <c r="G76" s="430"/>
      <c r="H76" s="430"/>
      <c r="I76" s="432"/>
      <c r="J76" s="432"/>
      <c r="K76" s="430"/>
      <c r="L76" s="430"/>
      <c r="M76" s="430"/>
    </row>
    <row r="77" spans="2:13" x14ac:dyDescent="0.2">
      <c r="B77" s="430"/>
      <c r="C77" s="430"/>
      <c r="D77" s="430"/>
      <c r="E77" s="431"/>
      <c r="F77" s="431"/>
      <c r="G77" s="430"/>
      <c r="H77" s="430"/>
      <c r="I77" s="432"/>
      <c r="J77" s="432"/>
      <c r="K77" s="430"/>
      <c r="L77" s="430"/>
      <c r="M77" s="430"/>
    </row>
    <row r="78" spans="2:13" x14ac:dyDescent="0.2">
      <c r="B78" s="430"/>
      <c r="C78" s="430"/>
      <c r="D78" s="430"/>
      <c r="E78" s="431"/>
      <c r="F78" s="431"/>
      <c r="G78" s="430"/>
      <c r="H78" s="430"/>
      <c r="I78" s="432"/>
      <c r="J78" s="432"/>
      <c r="K78" s="430"/>
      <c r="L78" s="430"/>
      <c r="M78" s="430"/>
    </row>
    <row r="79" spans="2:13" x14ac:dyDescent="0.2">
      <c r="B79" s="430"/>
      <c r="C79" s="430"/>
      <c r="D79" s="430"/>
      <c r="E79" s="431"/>
      <c r="F79" s="431"/>
      <c r="G79" s="430"/>
      <c r="H79" s="430"/>
      <c r="I79" s="432"/>
      <c r="J79" s="432"/>
      <c r="K79" s="430"/>
      <c r="L79" s="430"/>
      <c r="M79" s="430"/>
    </row>
    <row r="80" spans="2:13" x14ac:dyDescent="0.2">
      <c r="B80" s="430"/>
      <c r="C80" s="430"/>
      <c r="D80" s="430"/>
      <c r="E80" s="431"/>
      <c r="F80" s="431"/>
      <c r="G80" s="430"/>
      <c r="H80" s="430"/>
      <c r="I80" s="432"/>
      <c r="J80" s="432"/>
      <c r="K80" s="430"/>
      <c r="L80" s="430"/>
      <c r="M80" s="430"/>
    </row>
    <row r="81" spans="2:13" x14ac:dyDescent="0.2">
      <c r="B81" s="430"/>
      <c r="C81" s="430"/>
      <c r="D81" s="430"/>
      <c r="E81" s="431"/>
      <c r="F81" s="431"/>
      <c r="G81" s="430"/>
      <c r="H81" s="430"/>
      <c r="I81" s="432"/>
      <c r="J81" s="432"/>
      <c r="K81" s="430"/>
      <c r="L81" s="430"/>
      <c r="M81" s="430"/>
    </row>
    <row r="82" spans="2:13" x14ac:dyDescent="0.2">
      <c r="B82" s="430"/>
      <c r="C82" s="430"/>
      <c r="D82" s="430"/>
      <c r="E82" s="431"/>
      <c r="F82" s="431"/>
      <c r="G82" s="430"/>
      <c r="H82" s="430"/>
      <c r="I82" s="432"/>
      <c r="J82" s="432"/>
      <c r="K82" s="430"/>
      <c r="L82" s="430"/>
      <c r="M82" s="430"/>
    </row>
    <row r="83" spans="2:13" x14ac:dyDescent="0.2">
      <c r="B83" s="430"/>
      <c r="C83" s="430"/>
      <c r="D83" s="430"/>
      <c r="E83" s="431"/>
      <c r="F83" s="431"/>
      <c r="G83" s="430"/>
      <c r="H83" s="430"/>
      <c r="I83" s="432"/>
      <c r="J83" s="432"/>
      <c r="K83" s="430"/>
      <c r="L83" s="430"/>
      <c r="M83" s="430"/>
    </row>
    <row r="84" spans="2:13" x14ac:dyDescent="0.2">
      <c r="B84" s="430"/>
      <c r="C84" s="430"/>
      <c r="D84" s="430"/>
      <c r="E84" s="431"/>
      <c r="F84" s="431"/>
      <c r="G84" s="430"/>
      <c r="H84" s="430"/>
      <c r="I84" s="432"/>
      <c r="J84" s="432"/>
      <c r="K84" s="430"/>
      <c r="L84" s="430"/>
      <c r="M84" s="430"/>
    </row>
    <row r="85" spans="2:13" x14ac:dyDescent="0.2">
      <c r="B85" s="430"/>
      <c r="C85" s="430"/>
      <c r="D85" s="430"/>
      <c r="E85" s="431"/>
      <c r="F85" s="431"/>
      <c r="G85" s="430"/>
      <c r="H85" s="430"/>
      <c r="I85" s="432"/>
      <c r="J85" s="432"/>
      <c r="K85" s="430"/>
      <c r="L85" s="430"/>
      <c r="M85" s="430"/>
    </row>
    <row r="86" spans="2:13" x14ac:dyDescent="0.2">
      <c r="B86" s="430"/>
      <c r="C86" s="430"/>
      <c r="D86" s="430"/>
      <c r="E86" s="431"/>
      <c r="F86" s="431"/>
      <c r="G86" s="430"/>
      <c r="H86" s="430"/>
      <c r="I86" s="432"/>
      <c r="J86" s="432"/>
      <c r="K86" s="430"/>
      <c r="L86" s="430"/>
      <c r="M86" s="430"/>
    </row>
    <row r="87" spans="2:13" x14ac:dyDescent="0.2">
      <c r="B87" s="430"/>
      <c r="C87" s="430"/>
      <c r="D87" s="430"/>
      <c r="E87" s="431"/>
      <c r="F87" s="431"/>
      <c r="G87" s="430"/>
      <c r="H87" s="430"/>
      <c r="I87" s="432"/>
      <c r="J87" s="432"/>
      <c r="K87" s="430"/>
      <c r="L87" s="430"/>
      <c r="M87" s="430"/>
    </row>
    <row r="88" spans="2:13" x14ac:dyDescent="0.2">
      <c r="B88" s="430"/>
      <c r="C88" s="430"/>
      <c r="D88" s="430"/>
      <c r="E88" s="431"/>
      <c r="F88" s="431"/>
      <c r="G88" s="430"/>
      <c r="H88" s="430"/>
      <c r="I88" s="432"/>
      <c r="J88" s="432"/>
      <c r="K88" s="430"/>
      <c r="L88" s="430"/>
      <c r="M88" s="430"/>
    </row>
    <row r="89" spans="2:13" x14ac:dyDescent="0.2">
      <c r="B89" s="430"/>
      <c r="C89" s="430"/>
      <c r="D89" s="430"/>
      <c r="E89" s="431"/>
      <c r="F89" s="431"/>
      <c r="G89" s="430"/>
      <c r="H89" s="430"/>
      <c r="I89" s="432"/>
      <c r="J89" s="432"/>
      <c r="K89" s="430"/>
      <c r="L89" s="430"/>
      <c r="M89" s="430"/>
    </row>
    <row r="90" spans="2:13" x14ac:dyDescent="0.2">
      <c r="B90" s="430"/>
      <c r="C90" s="430"/>
      <c r="D90" s="430"/>
      <c r="E90" s="431"/>
      <c r="F90" s="431"/>
      <c r="G90" s="430"/>
      <c r="H90" s="430"/>
      <c r="I90" s="432"/>
      <c r="J90" s="432"/>
      <c r="K90" s="430"/>
      <c r="L90" s="430"/>
      <c r="M90" s="430"/>
    </row>
    <row r="91" spans="2:13" x14ac:dyDescent="0.2">
      <c r="B91" s="430"/>
      <c r="C91" s="430"/>
      <c r="D91" s="430"/>
      <c r="E91" s="431"/>
      <c r="F91" s="431"/>
      <c r="G91" s="430"/>
      <c r="H91" s="430"/>
      <c r="I91" s="432"/>
      <c r="J91" s="432"/>
      <c r="K91" s="430"/>
      <c r="L91" s="430"/>
      <c r="M91" s="430"/>
    </row>
    <row r="92" spans="2:13" x14ac:dyDescent="0.2">
      <c r="B92" s="430"/>
      <c r="C92" s="430"/>
      <c r="D92" s="430"/>
      <c r="E92" s="431"/>
      <c r="F92" s="431"/>
      <c r="G92" s="430"/>
      <c r="H92" s="430"/>
      <c r="I92" s="432"/>
      <c r="J92" s="432"/>
      <c r="K92" s="430"/>
      <c r="L92" s="430"/>
      <c r="M92" s="430"/>
    </row>
    <row r="93" spans="2:13" x14ac:dyDescent="0.2">
      <c r="B93" s="430"/>
      <c r="C93" s="430"/>
      <c r="D93" s="430"/>
      <c r="E93" s="431"/>
      <c r="F93" s="431"/>
      <c r="G93" s="430"/>
      <c r="H93" s="430"/>
      <c r="I93" s="432"/>
      <c r="J93" s="432"/>
      <c r="K93" s="430"/>
      <c r="L93" s="430"/>
      <c r="M93" s="430"/>
    </row>
    <row r="94" spans="2:13" x14ac:dyDescent="0.2">
      <c r="B94" s="430"/>
      <c r="C94" s="430"/>
      <c r="D94" s="430"/>
      <c r="E94" s="431"/>
      <c r="F94" s="431"/>
      <c r="G94" s="430"/>
      <c r="H94" s="430"/>
      <c r="I94" s="432"/>
      <c r="J94" s="432"/>
      <c r="K94" s="430"/>
      <c r="L94" s="430"/>
      <c r="M94" s="430"/>
    </row>
    <row r="95" spans="2:13" x14ac:dyDescent="0.2">
      <c r="B95" s="430"/>
      <c r="C95" s="430"/>
      <c r="D95" s="430"/>
      <c r="E95" s="431"/>
      <c r="F95" s="431"/>
      <c r="G95" s="430"/>
      <c r="H95" s="430"/>
      <c r="I95" s="432"/>
      <c r="J95" s="432"/>
      <c r="K95" s="430"/>
      <c r="L95" s="430"/>
      <c r="M95" s="430"/>
    </row>
    <row r="96" spans="2:13" x14ac:dyDescent="0.2">
      <c r="B96" s="430"/>
      <c r="C96" s="430"/>
      <c r="D96" s="430"/>
      <c r="E96" s="431"/>
      <c r="F96" s="431"/>
      <c r="G96" s="430"/>
      <c r="H96" s="430"/>
      <c r="I96" s="432"/>
      <c r="J96" s="432"/>
      <c r="K96" s="430"/>
      <c r="L96" s="430"/>
      <c r="M96" s="430"/>
    </row>
    <row r="97" spans="2:13" x14ac:dyDescent="0.2">
      <c r="B97" s="430"/>
      <c r="C97" s="430"/>
      <c r="D97" s="430"/>
      <c r="E97" s="431"/>
      <c r="F97" s="431"/>
      <c r="G97" s="430"/>
      <c r="H97" s="430"/>
      <c r="I97" s="432"/>
      <c r="J97" s="432"/>
      <c r="K97" s="430"/>
      <c r="L97" s="430"/>
      <c r="M97" s="430"/>
    </row>
    <row r="98" spans="2:13" x14ac:dyDescent="0.2">
      <c r="B98" s="430"/>
      <c r="C98" s="430"/>
      <c r="D98" s="430"/>
      <c r="E98" s="431"/>
      <c r="F98" s="431"/>
      <c r="G98" s="430"/>
      <c r="H98" s="430"/>
      <c r="I98" s="432"/>
      <c r="J98" s="432"/>
      <c r="K98" s="430"/>
      <c r="L98" s="430"/>
      <c r="M98" s="430"/>
    </row>
    <row r="99" spans="2:13" x14ac:dyDescent="0.2">
      <c r="B99" s="430"/>
      <c r="C99" s="430"/>
      <c r="D99" s="430"/>
      <c r="E99" s="431"/>
      <c r="F99" s="431"/>
      <c r="G99" s="430"/>
      <c r="H99" s="430"/>
      <c r="I99" s="432"/>
      <c r="J99" s="432"/>
      <c r="K99" s="430"/>
      <c r="L99" s="430"/>
      <c r="M99" s="430"/>
    </row>
    <row r="100" spans="2:13" x14ac:dyDescent="0.2">
      <c r="B100" s="430"/>
      <c r="C100" s="430"/>
      <c r="D100" s="430"/>
      <c r="E100" s="431"/>
      <c r="F100" s="431"/>
      <c r="G100" s="430"/>
      <c r="H100" s="430"/>
      <c r="I100" s="432"/>
      <c r="J100" s="432"/>
      <c r="K100" s="430"/>
      <c r="L100" s="430"/>
      <c r="M100" s="430"/>
    </row>
    <row r="101" spans="2:13" x14ac:dyDescent="0.2">
      <c r="B101" s="430"/>
      <c r="C101" s="430"/>
      <c r="D101" s="430"/>
      <c r="E101" s="431"/>
      <c r="F101" s="431"/>
      <c r="G101" s="430"/>
      <c r="H101" s="430"/>
      <c r="I101" s="432"/>
      <c r="J101" s="432"/>
      <c r="K101" s="430"/>
      <c r="L101" s="430"/>
      <c r="M101" s="430"/>
    </row>
    <row r="102" spans="2:13" x14ac:dyDescent="0.2">
      <c r="B102" s="430"/>
      <c r="C102" s="430"/>
      <c r="D102" s="430"/>
      <c r="E102" s="431"/>
      <c r="F102" s="431"/>
      <c r="G102" s="430"/>
      <c r="H102" s="430"/>
      <c r="I102" s="432"/>
      <c r="J102" s="432"/>
      <c r="K102" s="430"/>
      <c r="L102" s="430"/>
      <c r="M102" s="430"/>
    </row>
    <row r="103" spans="2:13" x14ac:dyDescent="0.2">
      <c r="B103" s="430"/>
      <c r="C103" s="430"/>
      <c r="D103" s="430"/>
      <c r="E103" s="431"/>
      <c r="F103" s="431"/>
      <c r="G103" s="430"/>
      <c r="H103" s="430"/>
    </row>
    <row r="104" spans="2:13" x14ac:dyDescent="0.2">
      <c r="B104" s="430"/>
      <c r="C104" s="430"/>
      <c r="D104" s="430"/>
      <c r="E104" s="431"/>
      <c r="F104" s="431"/>
      <c r="G104" s="430"/>
      <c r="H104" s="430"/>
    </row>
    <row r="105" spans="2:13" x14ac:dyDescent="0.2">
      <c r="B105" s="430"/>
      <c r="C105" s="430"/>
      <c r="D105" s="430"/>
      <c r="E105" s="431"/>
      <c r="F105" s="431"/>
      <c r="G105" s="430"/>
      <c r="H105" s="430"/>
    </row>
    <row r="106" spans="2:13" x14ac:dyDescent="0.2">
      <c r="B106" s="430"/>
      <c r="C106" s="430"/>
      <c r="D106" s="430"/>
      <c r="E106" s="431"/>
      <c r="F106" s="431"/>
      <c r="G106" s="430"/>
      <c r="H106" s="430"/>
    </row>
    <row r="107" spans="2:13" x14ac:dyDescent="0.2">
      <c r="B107" s="430"/>
      <c r="C107" s="430"/>
      <c r="D107" s="430"/>
      <c r="E107" s="431"/>
      <c r="F107" s="431"/>
      <c r="G107" s="430"/>
      <c r="H107" s="430"/>
    </row>
    <row r="108" spans="2:13" x14ac:dyDescent="0.2">
      <c r="B108" s="430"/>
      <c r="C108" s="430"/>
      <c r="D108" s="430"/>
      <c r="E108" s="431"/>
      <c r="F108" s="431"/>
      <c r="G108" s="430"/>
      <c r="H108" s="430"/>
    </row>
    <row r="109" spans="2:13" x14ac:dyDescent="0.2">
      <c r="B109" s="430"/>
      <c r="C109" s="430"/>
      <c r="D109" s="430"/>
      <c r="E109" s="431"/>
      <c r="F109" s="431"/>
      <c r="G109" s="430"/>
      <c r="H109" s="430"/>
    </row>
    <row r="110" spans="2:13" x14ac:dyDescent="0.2">
      <c r="B110" s="430"/>
      <c r="C110" s="430"/>
      <c r="D110" s="430"/>
      <c r="E110" s="431"/>
      <c r="F110" s="431"/>
      <c r="G110" s="430"/>
      <c r="H110" s="430"/>
    </row>
    <row r="111" spans="2:13" x14ac:dyDescent="0.2">
      <c r="B111" s="430"/>
      <c r="C111" s="430"/>
      <c r="D111" s="430"/>
      <c r="E111" s="431"/>
      <c r="F111" s="431"/>
      <c r="G111" s="430"/>
      <c r="H111" s="430"/>
    </row>
    <row r="112" spans="2:13" x14ac:dyDescent="0.2">
      <c r="B112" s="430"/>
      <c r="C112" s="430"/>
      <c r="D112" s="430"/>
      <c r="E112" s="431"/>
      <c r="F112" s="431"/>
      <c r="G112" s="430"/>
      <c r="H112" s="430"/>
    </row>
  </sheetData>
  <mergeCells count="205">
    <mergeCell ref="B18:C18"/>
    <mergeCell ref="I18:K18"/>
    <mergeCell ref="L18:M18"/>
    <mergeCell ref="L31:M31"/>
    <mergeCell ref="B24:C24"/>
    <mergeCell ref="I24:K24"/>
    <mergeCell ref="L24:M24"/>
    <mergeCell ref="B31:C31"/>
    <mergeCell ref="I31:K31"/>
    <mergeCell ref="B29:C29"/>
    <mergeCell ref="I29:K29"/>
    <mergeCell ref="L29:M29"/>
    <mergeCell ref="B30:C30"/>
    <mergeCell ref="I30:K30"/>
    <mergeCell ref="L30:M30"/>
    <mergeCell ref="B26:C26"/>
    <mergeCell ref="I26:K26"/>
    <mergeCell ref="L26:M26"/>
    <mergeCell ref="B25:C25"/>
    <mergeCell ref="I25:K25"/>
    <mergeCell ref="L25:M25"/>
    <mergeCell ref="B20:C20"/>
    <mergeCell ref="B15:C15"/>
    <mergeCell ref="I15:K15"/>
    <mergeCell ref="L15:M15"/>
    <mergeCell ref="B74:G74"/>
    <mergeCell ref="H74:I74"/>
    <mergeCell ref="J74:K74"/>
    <mergeCell ref="L74:M74"/>
    <mergeCell ref="B75:G75"/>
    <mergeCell ref="H75:I75"/>
    <mergeCell ref="J75:K75"/>
    <mergeCell ref="L75:M75"/>
    <mergeCell ref="B72:D72"/>
    <mergeCell ref="E72:G72"/>
    <mergeCell ref="H72:I72"/>
    <mergeCell ref="J72:K72"/>
    <mergeCell ref="L72:M72"/>
    <mergeCell ref="B73:M73"/>
    <mergeCell ref="B70:D70"/>
    <mergeCell ref="E70:G70"/>
    <mergeCell ref="H70:I70"/>
    <mergeCell ref="J70:K70"/>
    <mergeCell ref="L70:M70"/>
    <mergeCell ref="B71:D71"/>
    <mergeCell ref="E71:G71"/>
    <mergeCell ref="H71:I71"/>
    <mergeCell ref="J71:K71"/>
    <mergeCell ref="L71:M71"/>
    <mergeCell ref="B68:D68"/>
    <mergeCell ref="E68:G68"/>
    <mergeCell ref="H68:I68"/>
    <mergeCell ref="J68:K68"/>
    <mergeCell ref="L68:M68"/>
    <mergeCell ref="B69:D69"/>
    <mergeCell ref="E69:G69"/>
    <mergeCell ref="H69:I69"/>
    <mergeCell ref="J69:K69"/>
    <mergeCell ref="L69:M69"/>
    <mergeCell ref="B65:H65"/>
    <mergeCell ref="I65:K65"/>
    <mergeCell ref="L65:M65"/>
    <mergeCell ref="B66:M66"/>
    <mergeCell ref="B67:D67"/>
    <mergeCell ref="E67:G67"/>
    <mergeCell ref="H67:I67"/>
    <mergeCell ref="J67:K67"/>
    <mergeCell ref="L67:M67"/>
    <mergeCell ref="B62:D62"/>
    <mergeCell ref="E62:L62"/>
    <mergeCell ref="B63:M63"/>
    <mergeCell ref="B64:H64"/>
    <mergeCell ref="I64:K64"/>
    <mergeCell ref="L64:M64"/>
    <mergeCell ref="B58:M58"/>
    <mergeCell ref="B59:D59"/>
    <mergeCell ref="E59:L59"/>
    <mergeCell ref="B60:D60"/>
    <mergeCell ref="E60:L60"/>
    <mergeCell ref="B61:D61"/>
    <mergeCell ref="E61:L61"/>
    <mergeCell ref="B56:D56"/>
    <mergeCell ref="G56:I56"/>
    <mergeCell ref="J56:M56"/>
    <mergeCell ref="B57:D57"/>
    <mergeCell ref="E57:F57"/>
    <mergeCell ref="G57:I57"/>
    <mergeCell ref="J57:M57"/>
    <mergeCell ref="B54:D54"/>
    <mergeCell ref="G54:I54"/>
    <mergeCell ref="J54:M54"/>
    <mergeCell ref="B55:D55"/>
    <mergeCell ref="G55:I55"/>
    <mergeCell ref="J55:M55"/>
    <mergeCell ref="B52:D52"/>
    <mergeCell ref="G52:I52"/>
    <mergeCell ref="J52:M52"/>
    <mergeCell ref="B53:D53"/>
    <mergeCell ref="G53:I53"/>
    <mergeCell ref="J53:M53"/>
    <mergeCell ref="B50:D50"/>
    <mergeCell ref="G50:I50"/>
    <mergeCell ref="J50:M50"/>
    <mergeCell ref="B51:D51"/>
    <mergeCell ref="G51:I51"/>
    <mergeCell ref="J51:M51"/>
    <mergeCell ref="B48:D48"/>
    <mergeCell ref="G48:I48"/>
    <mergeCell ref="J48:M48"/>
    <mergeCell ref="B49:D49"/>
    <mergeCell ref="G49:I49"/>
    <mergeCell ref="J49:M49"/>
    <mergeCell ref="B46:D46"/>
    <mergeCell ref="G46:I46"/>
    <mergeCell ref="J46:M46"/>
    <mergeCell ref="B47:D47"/>
    <mergeCell ref="G47:I47"/>
    <mergeCell ref="J47:M47"/>
    <mergeCell ref="B43:M43"/>
    <mergeCell ref="B44:D44"/>
    <mergeCell ref="G44:I44"/>
    <mergeCell ref="J44:M44"/>
    <mergeCell ref="B45:D45"/>
    <mergeCell ref="G45:I45"/>
    <mergeCell ref="J45:M45"/>
    <mergeCell ref="B41:C41"/>
    <mergeCell ref="B42:C42"/>
    <mergeCell ref="I42:K42"/>
    <mergeCell ref="L42:M42"/>
    <mergeCell ref="B40:C40"/>
    <mergeCell ref="I40:K40"/>
    <mergeCell ref="L40:M40"/>
    <mergeCell ref="I41:K41"/>
    <mergeCell ref="L41:M41"/>
    <mergeCell ref="B39:C39"/>
    <mergeCell ref="I39:K39"/>
    <mergeCell ref="L39:M39"/>
    <mergeCell ref="B37:C37"/>
    <mergeCell ref="I37:K37"/>
    <mergeCell ref="L37:M37"/>
    <mergeCell ref="B38:C38"/>
    <mergeCell ref="I38:K38"/>
    <mergeCell ref="L38:M38"/>
    <mergeCell ref="I20:K20"/>
    <mergeCell ref="L20:M20"/>
    <mergeCell ref="B28:C28"/>
    <mergeCell ref="I28:K28"/>
    <mergeCell ref="L28:M28"/>
    <mergeCell ref="B22:C22"/>
    <mergeCell ref="I22:K22"/>
    <mergeCell ref="L22:M22"/>
    <mergeCell ref="B19:C19"/>
    <mergeCell ref="I19:K19"/>
    <mergeCell ref="L19:M19"/>
    <mergeCell ref="B21:C21"/>
    <mergeCell ref="I21:K21"/>
    <mergeCell ref="L21:M21"/>
    <mergeCell ref="B23:C23"/>
    <mergeCell ref="I23:K23"/>
    <mergeCell ref="L23:M23"/>
    <mergeCell ref="B35:C35"/>
    <mergeCell ref="I35:K35"/>
    <mergeCell ref="L35:M35"/>
    <mergeCell ref="B36:C36"/>
    <mergeCell ref="I36:K36"/>
    <mergeCell ref="L36:M36"/>
    <mergeCell ref="B33:C33"/>
    <mergeCell ref="I33:K33"/>
    <mergeCell ref="L33:M33"/>
    <mergeCell ref="B34:C34"/>
    <mergeCell ref="I34:K34"/>
    <mergeCell ref="L34:M34"/>
    <mergeCell ref="B32:C32"/>
    <mergeCell ref="I32:K32"/>
    <mergeCell ref="L32:M32"/>
    <mergeCell ref="B8:C8"/>
    <mergeCell ref="D8:M8"/>
    <mergeCell ref="B9:C9"/>
    <mergeCell ref="D9:M9"/>
    <mergeCell ref="B10:C10"/>
    <mergeCell ref="D10:M10"/>
    <mergeCell ref="B13:C13"/>
    <mergeCell ref="I13:K13"/>
    <mergeCell ref="L13:M13"/>
    <mergeCell ref="B17:C17"/>
    <mergeCell ref="I17:K17"/>
    <mergeCell ref="L17:M17"/>
    <mergeCell ref="B27:C27"/>
    <mergeCell ref="I27:K27"/>
    <mergeCell ref="L27:M27"/>
    <mergeCell ref="B14:C14"/>
    <mergeCell ref="I14:K14"/>
    <mergeCell ref="L14:M14"/>
    <mergeCell ref="B16:C16"/>
    <mergeCell ref="I16:K16"/>
    <mergeCell ref="L16:M16"/>
    <mergeCell ref="B2:M4"/>
    <mergeCell ref="B5:M5"/>
    <mergeCell ref="B6:M6"/>
    <mergeCell ref="N6:P6"/>
    <mergeCell ref="B7:C7"/>
    <mergeCell ref="D7:M7"/>
    <mergeCell ref="B11:C11"/>
    <mergeCell ref="D11:M11"/>
    <mergeCell ref="B12:M12"/>
  </mergeCells>
  <phoneticPr fontId="97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31"/>
  <sheetViews>
    <sheetView topLeftCell="A171" zoomScale="85" zoomScaleNormal="85" workbookViewId="0">
      <pane xSplit="2" topLeftCell="C1" activePane="topRight" state="frozen"/>
      <selection pane="topRight" activeCell="A341" sqref="A341:XFD531"/>
    </sheetView>
  </sheetViews>
  <sheetFormatPr defaultColWidth="14.5703125" defaultRowHeight="15" x14ac:dyDescent="0.25"/>
  <cols>
    <col min="1" max="1" width="24.85546875" customWidth="1"/>
    <col min="2" max="2" width="34.85546875" customWidth="1"/>
    <col min="3" max="3" width="22.7109375" customWidth="1"/>
    <col min="4" max="4" width="20.42578125" customWidth="1"/>
    <col min="5" max="5" width="22.85546875" customWidth="1"/>
    <col min="6" max="6" width="25.28515625" customWidth="1"/>
    <col min="7" max="7" width="23.28515625" customWidth="1"/>
    <col min="8" max="8" width="21" customWidth="1"/>
    <col min="9" max="9" width="19.42578125" customWidth="1"/>
    <col min="10" max="10" width="21.85546875" customWidth="1"/>
    <col min="11" max="12" width="20.85546875" customWidth="1"/>
    <col min="13" max="13" width="21.85546875" customWidth="1"/>
    <col min="14" max="14" width="20.28515625" customWidth="1"/>
    <col min="15" max="15" width="23.28515625" customWidth="1"/>
    <col min="16" max="16" width="20.85546875" customWidth="1"/>
  </cols>
  <sheetData>
    <row r="1" spans="2:15" ht="16.5" customHeight="1" x14ac:dyDescent="0.25"/>
    <row r="2" spans="2:15" ht="15.75" customHeight="1" x14ac:dyDescent="0.25">
      <c r="B2" s="687" t="s">
        <v>29</v>
      </c>
      <c r="C2" s="688"/>
      <c r="D2" s="688"/>
      <c r="E2" s="688"/>
      <c r="F2" s="688"/>
      <c r="G2" s="688"/>
      <c r="H2" s="688"/>
      <c r="I2" s="688"/>
      <c r="J2" s="688"/>
      <c r="K2" s="688"/>
      <c r="L2" s="688"/>
      <c r="M2" s="688"/>
      <c r="N2" s="689"/>
    </row>
    <row r="3" spans="2:15" ht="16.5" customHeight="1" x14ac:dyDescent="0.25">
      <c r="B3" s="690"/>
      <c r="C3" s="691"/>
      <c r="D3" s="691"/>
      <c r="E3" s="691"/>
      <c r="F3" s="691"/>
      <c r="G3" s="691"/>
      <c r="H3" s="691"/>
      <c r="I3" s="691"/>
      <c r="J3" s="691"/>
      <c r="K3" s="691"/>
      <c r="L3" s="691"/>
      <c r="M3" s="691"/>
      <c r="N3" s="692"/>
    </row>
    <row r="5" spans="2:15" ht="15.75" customHeight="1" x14ac:dyDescent="0.25">
      <c r="B5" s="1">
        <v>2021</v>
      </c>
      <c r="C5" s="2" t="s">
        <v>0</v>
      </c>
      <c r="D5" s="2" t="s">
        <v>1</v>
      </c>
      <c r="E5" s="3" t="s">
        <v>2</v>
      </c>
      <c r="F5" s="3" t="s">
        <v>3</v>
      </c>
      <c r="G5" s="3" t="s">
        <v>4</v>
      </c>
      <c r="H5" s="2" t="s">
        <v>5</v>
      </c>
      <c r="I5" s="2" t="s">
        <v>6</v>
      </c>
      <c r="J5" s="3" t="s">
        <v>7</v>
      </c>
      <c r="K5" s="3" t="s">
        <v>8</v>
      </c>
      <c r="L5" s="3" t="s">
        <v>9</v>
      </c>
      <c r="M5" s="3" t="s">
        <v>10</v>
      </c>
      <c r="N5" s="2" t="s">
        <v>11</v>
      </c>
    </row>
    <row r="6" spans="2:15" ht="19.5" customHeight="1" x14ac:dyDescent="0.3">
      <c r="B6" s="5" t="s">
        <v>12</v>
      </c>
      <c r="C6" s="7"/>
      <c r="D6" s="7">
        <v>10000</v>
      </c>
      <c r="E6" s="7">
        <v>10000</v>
      </c>
      <c r="F6" s="7">
        <v>10000</v>
      </c>
      <c r="G6" s="7">
        <v>10000</v>
      </c>
      <c r="H6" s="7">
        <v>10000</v>
      </c>
      <c r="I6" s="7">
        <v>15000</v>
      </c>
      <c r="J6" s="7">
        <v>15000</v>
      </c>
      <c r="K6" s="7">
        <v>15000</v>
      </c>
      <c r="L6" s="7">
        <v>20000</v>
      </c>
      <c r="M6" s="7">
        <v>20000</v>
      </c>
      <c r="N6" s="7">
        <v>20000</v>
      </c>
      <c r="O6" s="12">
        <f>SUM(D6:N6)</f>
        <v>155000</v>
      </c>
    </row>
    <row r="7" spans="2:15" ht="19.5" customHeight="1" x14ac:dyDescent="0.3">
      <c r="B7" s="5"/>
      <c r="C7" s="7"/>
      <c r="D7" s="7"/>
      <c r="E7" s="39">
        <v>13000</v>
      </c>
      <c r="F7" s="39">
        <v>13000</v>
      </c>
      <c r="G7" s="39">
        <v>13000</v>
      </c>
      <c r="H7" s="39">
        <v>18000</v>
      </c>
      <c r="I7" s="39">
        <v>22000</v>
      </c>
      <c r="J7" s="39">
        <v>22000</v>
      </c>
      <c r="K7" s="39">
        <v>22000</v>
      </c>
      <c r="L7" s="7"/>
      <c r="M7" s="7"/>
      <c r="N7" s="7"/>
    </row>
    <row r="8" spans="2:15" ht="15.75" customHeight="1" x14ac:dyDescent="0.25">
      <c r="B8" s="8" t="s">
        <v>13</v>
      </c>
      <c r="C8" s="4">
        <v>456.21</v>
      </c>
      <c r="D8" s="4">
        <v>5261.87</v>
      </c>
      <c r="E8" s="4">
        <v>4169.6899999999996</v>
      </c>
      <c r="F8" s="4">
        <v>5637.42</v>
      </c>
      <c r="G8" s="4">
        <v>4377.6899999999996</v>
      </c>
      <c r="H8" s="4">
        <v>4835.07</v>
      </c>
      <c r="I8" s="4">
        <v>8954.85</v>
      </c>
      <c r="J8" s="4">
        <v>5327.83</v>
      </c>
      <c r="K8" s="4">
        <v>4460.3</v>
      </c>
      <c r="L8" s="4">
        <v>10921.05</v>
      </c>
      <c r="M8" s="4">
        <v>11667.51</v>
      </c>
      <c r="N8" s="4">
        <v>10490.07</v>
      </c>
    </row>
    <row r="9" spans="2:15" ht="15.75" customHeight="1" x14ac:dyDescent="0.25">
      <c r="B9" s="10" t="s">
        <v>14</v>
      </c>
      <c r="C9" s="4">
        <v>2938.36</v>
      </c>
      <c r="D9" s="4">
        <v>7555.5</v>
      </c>
      <c r="E9" s="4">
        <v>9639.19</v>
      </c>
      <c r="F9" s="4">
        <v>12714.53</v>
      </c>
      <c r="G9" s="4">
        <v>18482.37</v>
      </c>
      <c r="H9" s="4">
        <v>20441.2</v>
      </c>
      <c r="I9" s="4">
        <v>14911.63</v>
      </c>
      <c r="J9" s="4">
        <v>16666.7</v>
      </c>
      <c r="K9" s="4">
        <v>18080.490000000002</v>
      </c>
      <c r="L9" s="4">
        <v>26318.46</v>
      </c>
      <c r="M9" s="4">
        <v>28898.34</v>
      </c>
      <c r="N9" s="4">
        <v>18391.68</v>
      </c>
    </row>
    <row r="10" spans="2:15" ht="19.5" customHeight="1" x14ac:dyDescent="0.3">
      <c r="B10" s="11" t="s">
        <v>15</v>
      </c>
      <c r="C10" s="32">
        <f t="shared" ref="C10:N10" si="0">C8+C9</f>
        <v>3394.57</v>
      </c>
      <c r="D10" s="34">
        <f t="shared" si="0"/>
        <v>12817.369999999999</v>
      </c>
      <c r="E10" s="34">
        <f t="shared" si="0"/>
        <v>13808.880000000001</v>
      </c>
      <c r="F10" s="34">
        <f t="shared" si="0"/>
        <v>18351.95</v>
      </c>
      <c r="G10" s="34">
        <f t="shared" si="0"/>
        <v>22860.059999999998</v>
      </c>
      <c r="H10" s="34">
        <f t="shared" si="0"/>
        <v>25276.27</v>
      </c>
      <c r="I10" s="34">
        <f t="shared" si="0"/>
        <v>23866.48</v>
      </c>
      <c r="J10" s="32">
        <f t="shared" si="0"/>
        <v>21994.53</v>
      </c>
      <c r="K10" s="32">
        <f t="shared" si="0"/>
        <v>22540.79</v>
      </c>
      <c r="L10" s="35">
        <f t="shared" si="0"/>
        <v>37239.509999999995</v>
      </c>
      <c r="M10" s="35">
        <f t="shared" si="0"/>
        <v>40565.85</v>
      </c>
      <c r="N10" s="35">
        <f t="shared" si="0"/>
        <v>28881.75</v>
      </c>
      <c r="O10" s="12">
        <f>SUM(C10:N10)</f>
        <v>271598.01</v>
      </c>
    </row>
    <row r="11" spans="2:15" ht="15.75" customHeight="1" x14ac:dyDescent="0.25">
      <c r="B11" s="14" t="s">
        <v>30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31"/>
      <c r="N11" s="17"/>
    </row>
    <row r="12" spans="2:15" ht="15.75" customHeight="1" x14ac:dyDescent="0.25">
      <c r="B12" s="14" t="s">
        <v>17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4" spans="2:15" ht="15.75" customHeight="1" x14ac:dyDescent="0.25">
      <c r="B14" s="3">
        <v>2021</v>
      </c>
      <c r="C14" s="19" t="s">
        <v>0</v>
      </c>
      <c r="D14" s="19" t="s">
        <v>1</v>
      </c>
      <c r="E14" s="19" t="s">
        <v>2</v>
      </c>
      <c r="F14" s="19" t="s">
        <v>3</v>
      </c>
      <c r="G14" s="19" t="s">
        <v>4</v>
      </c>
      <c r="H14" s="19" t="s">
        <v>5</v>
      </c>
      <c r="I14" s="19" t="s">
        <v>6</v>
      </c>
      <c r="J14" s="19" t="s">
        <v>7</v>
      </c>
      <c r="K14" s="19" t="s">
        <v>8</v>
      </c>
      <c r="L14" s="19" t="s">
        <v>9</v>
      </c>
      <c r="M14" s="19" t="s">
        <v>10</v>
      </c>
      <c r="N14" s="19" t="s">
        <v>11</v>
      </c>
    </row>
    <row r="15" spans="2:15" ht="15.75" customHeight="1" x14ac:dyDescent="0.25">
      <c r="B15" s="20" t="s">
        <v>18</v>
      </c>
      <c r="C15">
        <v>95</v>
      </c>
      <c r="D15">
        <v>101</v>
      </c>
      <c r="E15">
        <v>159</v>
      </c>
      <c r="F15">
        <v>162</v>
      </c>
      <c r="G15" s="22">
        <v>210</v>
      </c>
      <c r="H15">
        <v>182</v>
      </c>
      <c r="I15">
        <f>24+191</f>
        <v>215</v>
      </c>
      <c r="J15">
        <f>206+23</f>
        <v>229</v>
      </c>
      <c r="K15">
        <f>214+21</f>
        <v>235</v>
      </c>
      <c r="L15">
        <f>28+308</f>
        <v>336</v>
      </c>
      <c r="M15">
        <f>39+352</f>
        <v>391</v>
      </c>
      <c r="N15">
        <v>239</v>
      </c>
    </row>
    <row r="16" spans="2:15" ht="15.75" customHeight="1" x14ac:dyDescent="0.25">
      <c r="B16" s="20" t="s">
        <v>19</v>
      </c>
      <c r="C16">
        <v>1144</v>
      </c>
      <c r="D16">
        <v>774</v>
      </c>
      <c r="E16">
        <v>716</v>
      </c>
      <c r="F16">
        <v>900</v>
      </c>
      <c r="G16">
        <v>1173</v>
      </c>
      <c r="H16">
        <v>1274</v>
      </c>
      <c r="I16">
        <f>466+772</f>
        <v>1238</v>
      </c>
      <c r="J16">
        <f>444+969</f>
        <v>1413</v>
      </c>
      <c r="K16">
        <f>1108+417</f>
        <v>1525</v>
      </c>
      <c r="L16">
        <f>1423+646</f>
        <v>2069</v>
      </c>
      <c r="M16">
        <f>819+1493</f>
        <v>2312</v>
      </c>
      <c r="N16">
        <v>1680</v>
      </c>
    </row>
    <row r="17" spans="2:16" ht="15.75" customHeight="1" x14ac:dyDescent="0.25">
      <c r="B17" s="20" t="s">
        <v>20</v>
      </c>
      <c r="C17" s="12">
        <f t="shared" ref="C17:N17" si="1">C10/C15</f>
        <v>35.732315789473688</v>
      </c>
      <c r="D17" s="12">
        <f t="shared" si="1"/>
        <v>126.90465346534653</v>
      </c>
      <c r="E17" s="12">
        <f t="shared" si="1"/>
        <v>86.848301886792456</v>
      </c>
      <c r="F17" s="12">
        <f t="shared" si="1"/>
        <v>113.28364197530864</v>
      </c>
      <c r="G17" s="12">
        <f t="shared" si="1"/>
        <v>108.85742857142856</v>
      </c>
      <c r="H17" s="12">
        <f t="shared" si="1"/>
        <v>138.88060439560439</v>
      </c>
      <c r="I17" s="12">
        <f t="shared" si="1"/>
        <v>111.00688372093023</v>
      </c>
      <c r="J17" s="12">
        <f t="shared" si="1"/>
        <v>96.045982532751083</v>
      </c>
      <c r="K17" s="12">
        <f t="shared" si="1"/>
        <v>95.91825531914894</v>
      </c>
      <c r="L17" s="12">
        <f t="shared" si="1"/>
        <v>110.83187499999998</v>
      </c>
      <c r="M17" s="12">
        <f t="shared" si="1"/>
        <v>103.74897698209718</v>
      </c>
      <c r="N17" s="12">
        <f t="shared" si="1"/>
        <v>120.84414225941423</v>
      </c>
    </row>
    <row r="18" spans="2:16" ht="15.75" customHeight="1" x14ac:dyDescent="0.25">
      <c r="B18" s="23" t="s">
        <v>24</v>
      </c>
      <c r="C18" s="24">
        <v>0.55000000000000004</v>
      </c>
      <c r="D18" s="24">
        <v>0.6</v>
      </c>
      <c r="E18" s="24">
        <v>0.92</v>
      </c>
      <c r="F18" s="24">
        <v>0.83</v>
      </c>
      <c r="G18" s="24">
        <v>1</v>
      </c>
      <c r="H18" s="24">
        <v>1</v>
      </c>
      <c r="I18" s="24">
        <v>0.88</v>
      </c>
      <c r="J18" s="24">
        <v>0.82</v>
      </c>
      <c r="K18" s="24">
        <v>1</v>
      </c>
      <c r="L18" s="24">
        <v>0.8</v>
      </c>
      <c r="M18" s="24">
        <v>0.8</v>
      </c>
    </row>
    <row r="20" spans="2:16" ht="19.5" customHeight="1" x14ac:dyDescent="0.25">
      <c r="B20" s="40">
        <v>2022</v>
      </c>
      <c r="C20" s="2" t="s">
        <v>0</v>
      </c>
      <c r="D20" s="2" t="s">
        <v>1</v>
      </c>
      <c r="E20" s="3" t="s">
        <v>2</v>
      </c>
      <c r="F20" s="3" t="s">
        <v>3</v>
      </c>
      <c r="G20" s="3" t="s">
        <v>4</v>
      </c>
      <c r="H20" s="2" t="s">
        <v>5</v>
      </c>
      <c r="I20" s="2" t="s">
        <v>6</v>
      </c>
      <c r="J20" s="3" t="s">
        <v>7</v>
      </c>
      <c r="K20" s="3" t="s">
        <v>8</v>
      </c>
      <c r="L20" s="3" t="s">
        <v>9</v>
      </c>
      <c r="M20" s="3" t="s">
        <v>10</v>
      </c>
      <c r="N20" s="2" t="s">
        <v>11</v>
      </c>
    </row>
    <row r="21" spans="2:16" ht="19.5" customHeight="1" x14ac:dyDescent="0.3">
      <c r="B21" s="5" t="s">
        <v>31</v>
      </c>
      <c r="C21" s="7">
        <v>20000</v>
      </c>
      <c r="D21" s="7">
        <v>20000</v>
      </c>
      <c r="E21" s="7">
        <v>23000</v>
      </c>
      <c r="F21" s="7">
        <v>23000</v>
      </c>
      <c r="G21" s="7">
        <v>23000</v>
      </c>
      <c r="H21" s="7">
        <v>20000</v>
      </c>
      <c r="I21" s="7">
        <v>20000</v>
      </c>
      <c r="J21" s="7">
        <v>30000</v>
      </c>
      <c r="K21" s="7">
        <v>30000</v>
      </c>
      <c r="L21" s="7">
        <v>35000</v>
      </c>
      <c r="M21" s="7">
        <v>35000</v>
      </c>
      <c r="N21" s="7">
        <v>30000</v>
      </c>
      <c r="O21" s="12">
        <f>SUM(C21:N21)</f>
        <v>309000</v>
      </c>
    </row>
    <row r="22" spans="2:16" ht="15.75" customHeight="1" x14ac:dyDescent="0.25">
      <c r="B22" s="8" t="s">
        <v>13</v>
      </c>
      <c r="C22" s="4">
        <v>6462.6</v>
      </c>
      <c r="D22" s="4">
        <v>7597.49</v>
      </c>
      <c r="E22" s="4">
        <v>10494.36</v>
      </c>
      <c r="F22" s="4">
        <v>9231.4599999999991</v>
      </c>
      <c r="G22" s="4">
        <v>11726.49</v>
      </c>
      <c r="H22" s="4">
        <v>3790.34</v>
      </c>
      <c r="I22" s="4">
        <v>10179.370000000001</v>
      </c>
      <c r="J22" s="4">
        <v>15486.76</v>
      </c>
      <c r="K22" s="4">
        <v>9481.07</v>
      </c>
      <c r="L22" s="4">
        <v>6130.34</v>
      </c>
      <c r="M22" s="4">
        <v>13930.43</v>
      </c>
      <c r="N22" s="4">
        <v>15610.88</v>
      </c>
    </row>
    <row r="23" spans="2:16" s="11" customFormat="1" ht="15.75" customHeight="1" x14ac:dyDescent="0.25">
      <c r="B23" s="89" t="s">
        <v>14</v>
      </c>
      <c r="C23" s="12">
        <v>24383.38</v>
      </c>
      <c r="D23" s="12">
        <v>34389.26</v>
      </c>
      <c r="E23" s="12">
        <v>26482.19</v>
      </c>
      <c r="F23" s="12">
        <v>17365.22</v>
      </c>
      <c r="G23" s="12">
        <v>24438.74</v>
      </c>
      <c r="H23" s="12">
        <v>23299.33</v>
      </c>
      <c r="I23" s="12">
        <v>22895.77</v>
      </c>
      <c r="J23" s="12">
        <v>27008.03</v>
      </c>
      <c r="K23" s="12">
        <v>28273.58</v>
      </c>
      <c r="L23" s="12">
        <v>33579.39</v>
      </c>
      <c r="M23" s="12">
        <v>36442.58</v>
      </c>
      <c r="N23" s="12">
        <v>21782.12</v>
      </c>
    </row>
    <row r="24" spans="2:16" ht="15.75" customHeight="1" x14ac:dyDescent="0.25">
      <c r="B24" s="11" t="s">
        <v>32</v>
      </c>
      <c r="C24" s="69">
        <f t="shared" ref="C24:N24" si="2">C22+C23</f>
        <v>30845.980000000003</v>
      </c>
      <c r="D24" s="69">
        <f t="shared" si="2"/>
        <v>41986.75</v>
      </c>
      <c r="E24" s="69">
        <f t="shared" si="2"/>
        <v>36976.550000000003</v>
      </c>
      <c r="F24" s="69">
        <f t="shared" si="2"/>
        <v>26596.68</v>
      </c>
      <c r="G24" s="69">
        <f t="shared" si="2"/>
        <v>36165.230000000003</v>
      </c>
      <c r="H24" s="69">
        <f t="shared" si="2"/>
        <v>27089.670000000002</v>
      </c>
      <c r="I24" s="69">
        <f t="shared" si="2"/>
        <v>33075.14</v>
      </c>
      <c r="J24" s="69">
        <f t="shared" si="2"/>
        <v>42494.79</v>
      </c>
      <c r="K24" s="69">
        <f t="shared" si="2"/>
        <v>37754.65</v>
      </c>
      <c r="L24" s="69">
        <f t="shared" si="2"/>
        <v>39709.729999999996</v>
      </c>
      <c r="M24" s="69">
        <f t="shared" si="2"/>
        <v>50373.01</v>
      </c>
      <c r="N24" s="69">
        <f t="shared" si="2"/>
        <v>37393</v>
      </c>
      <c r="O24" s="12">
        <f>SUM(C24:N24)</f>
        <v>440461.18000000005</v>
      </c>
      <c r="P24" s="153">
        <f>O24/O10</f>
        <v>1.6217393492684282</v>
      </c>
    </row>
    <row r="25" spans="2:16" ht="15.75" hidden="1" customHeight="1" x14ac:dyDescent="0.25">
      <c r="B25" s="14" t="s">
        <v>33</v>
      </c>
      <c r="C25" s="16">
        <f t="shared" ref="C25:N25" si="3">(C24/C21)-1</f>
        <v>0.54229900000000009</v>
      </c>
      <c r="D25" s="16">
        <f t="shared" si="3"/>
        <v>1.0993374999999999</v>
      </c>
      <c r="E25" s="16">
        <f t="shared" si="3"/>
        <v>0.60767608695652187</v>
      </c>
      <c r="F25" s="16">
        <f t="shared" si="3"/>
        <v>0.1563773913043478</v>
      </c>
      <c r="G25" s="16">
        <f t="shared" si="3"/>
        <v>0.57240130434782621</v>
      </c>
      <c r="H25" s="16">
        <f t="shared" si="3"/>
        <v>0.35448350000000017</v>
      </c>
      <c r="I25" s="16">
        <f t="shared" si="3"/>
        <v>0.65375699999999992</v>
      </c>
      <c r="J25" s="16">
        <f t="shared" si="3"/>
        <v>0.416493</v>
      </c>
      <c r="K25" s="16">
        <f t="shared" si="3"/>
        <v>0.25848833333333343</v>
      </c>
      <c r="L25" s="16">
        <f t="shared" si="3"/>
        <v>0.13456371428571412</v>
      </c>
      <c r="M25" s="16">
        <f t="shared" si="3"/>
        <v>0.43922885714285731</v>
      </c>
      <c r="N25" s="16">
        <f t="shared" si="3"/>
        <v>0.24643333333333328</v>
      </c>
    </row>
    <row r="26" spans="2:16" ht="15.75" hidden="1" customHeight="1" x14ac:dyDescent="0.25">
      <c r="B26" s="14" t="s">
        <v>17</v>
      </c>
      <c r="C26" s="16"/>
      <c r="D26" s="16"/>
      <c r="E26" s="16"/>
      <c r="F26" s="16">
        <f t="shared" ref="F26:N26" si="4">(F24/F10)-1</f>
        <v>0.44925634605586873</v>
      </c>
      <c r="G26" s="16">
        <f t="shared" si="4"/>
        <v>0.58202690631608167</v>
      </c>
      <c r="H26" s="16">
        <f t="shared" si="4"/>
        <v>7.1743180461357747E-2</v>
      </c>
      <c r="I26" s="16">
        <f t="shared" si="4"/>
        <v>0.38584072724591145</v>
      </c>
      <c r="J26" s="16">
        <f t="shared" si="4"/>
        <v>0.93206174444282297</v>
      </c>
      <c r="K26" s="16">
        <f t="shared" si="4"/>
        <v>0.67494794991657336</v>
      </c>
      <c r="L26" s="16">
        <f t="shared" si="4"/>
        <v>6.633331104517759E-2</v>
      </c>
      <c r="M26" s="16">
        <f t="shared" si="4"/>
        <v>0.24175901651265796</v>
      </c>
      <c r="N26" s="16">
        <f t="shared" si="4"/>
        <v>0.2946930154855576</v>
      </c>
    </row>
    <row r="27" spans="2:16" ht="18.75" hidden="1" customHeight="1" x14ac:dyDescent="0.3">
      <c r="B27" s="5" t="s">
        <v>34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">
        <v>35</v>
      </c>
      <c r="N27" s="18"/>
      <c r="P27" s="9"/>
    </row>
    <row r="28" spans="2:16" ht="15.75" hidden="1" customHeight="1" x14ac:dyDescent="0.25">
      <c r="B28" s="14" t="s">
        <v>34</v>
      </c>
      <c r="C28" s="18">
        <v>10000</v>
      </c>
      <c r="D28" s="18"/>
      <c r="E28" s="18"/>
      <c r="F28" s="18"/>
      <c r="G28" s="18"/>
      <c r="H28" s="18"/>
      <c r="I28" s="18"/>
      <c r="J28" s="18"/>
      <c r="K28" s="18"/>
      <c r="L28" s="18"/>
      <c r="M28" s="92">
        <v>69082.47</v>
      </c>
      <c r="N28" s="18">
        <f>N29+N30</f>
        <v>38435.11</v>
      </c>
      <c r="P28" s="9"/>
    </row>
    <row r="29" spans="2:16" ht="15.75" hidden="1" customHeight="1" x14ac:dyDescent="0.25">
      <c r="B29" s="14" t="s">
        <v>36</v>
      </c>
      <c r="C29" s="18">
        <v>2000</v>
      </c>
      <c r="D29" s="18"/>
      <c r="E29" s="18"/>
      <c r="F29" s="18"/>
      <c r="G29" s="18"/>
      <c r="H29" s="18"/>
      <c r="I29" s="18"/>
      <c r="J29" s="18"/>
      <c r="K29" s="18"/>
      <c r="L29" s="18"/>
      <c r="M29" s="93">
        <v>39814.800000000003</v>
      </c>
      <c r="N29" s="18">
        <v>22641.79</v>
      </c>
      <c r="P29" s="9"/>
    </row>
    <row r="30" spans="2:16" s="83" customFormat="1" ht="15.75" hidden="1" customHeight="1" x14ac:dyDescent="0.25">
      <c r="B30" s="82" t="s">
        <v>37</v>
      </c>
      <c r="C30" s="84">
        <v>8000</v>
      </c>
      <c r="D30" s="84"/>
      <c r="E30" s="84"/>
      <c r="F30" s="84"/>
      <c r="G30" s="84"/>
      <c r="H30" s="84"/>
      <c r="I30" s="84"/>
      <c r="J30" s="84"/>
      <c r="K30" s="84"/>
      <c r="L30" s="84"/>
      <c r="M30" s="94">
        <v>29267.67</v>
      </c>
      <c r="N30" s="84">
        <v>15793.32</v>
      </c>
      <c r="P30" s="77"/>
    </row>
    <row r="31" spans="2:16" ht="15.75" hidden="1" customHeight="1" x14ac:dyDescent="0.25">
      <c r="B31" s="14" t="s">
        <v>38</v>
      </c>
      <c r="C31" s="85">
        <f t="shared" ref="C31:N31" si="5">C29/C28</f>
        <v>0.2</v>
      </c>
      <c r="D31" s="85" t="e">
        <f t="shared" si="5"/>
        <v>#DIV/0!</v>
      </c>
      <c r="E31" s="85" t="e">
        <f t="shared" si="5"/>
        <v>#DIV/0!</v>
      </c>
      <c r="F31" s="85" t="e">
        <f t="shared" si="5"/>
        <v>#DIV/0!</v>
      </c>
      <c r="G31" s="85" t="e">
        <f t="shared" si="5"/>
        <v>#DIV/0!</v>
      </c>
      <c r="H31" s="85" t="e">
        <f t="shared" si="5"/>
        <v>#DIV/0!</v>
      </c>
      <c r="I31" s="85" t="e">
        <f t="shared" si="5"/>
        <v>#DIV/0!</v>
      </c>
      <c r="J31" s="85" t="e">
        <f t="shared" si="5"/>
        <v>#DIV/0!</v>
      </c>
      <c r="K31" s="85" t="e">
        <f t="shared" si="5"/>
        <v>#DIV/0!</v>
      </c>
      <c r="L31" s="85" t="e">
        <f t="shared" si="5"/>
        <v>#DIV/0!</v>
      </c>
      <c r="M31" s="85">
        <f t="shared" si="5"/>
        <v>0.57633723866561226</v>
      </c>
      <c r="N31" s="85">
        <f t="shared" si="5"/>
        <v>0.58909132821526988</v>
      </c>
      <c r="P31" s="9"/>
    </row>
    <row r="32" spans="2:16" ht="15.75" hidden="1" customHeight="1" x14ac:dyDescent="0.25"/>
    <row r="33" spans="2:16" ht="15.75" hidden="1" customHeight="1" x14ac:dyDescent="0.25">
      <c r="B33" s="3" t="s">
        <v>21</v>
      </c>
      <c r="C33" s="19" t="s">
        <v>0</v>
      </c>
      <c r="D33" s="19" t="s">
        <v>1</v>
      </c>
      <c r="E33" s="19" t="s">
        <v>2</v>
      </c>
      <c r="F33" s="19" t="s">
        <v>3</v>
      </c>
      <c r="G33" s="19" t="s">
        <v>4</v>
      </c>
      <c r="H33" s="19" t="s">
        <v>5</v>
      </c>
      <c r="I33" s="19" t="s">
        <v>6</v>
      </c>
      <c r="J33" s="19" t="s">
        <v>7</v>
      </c>
      <c r="K33" s="19" t="s">
        <v>8</v>
      </c>
      <c r="L33" s="19" t="s">
        <v>9</v>
      </c>
      <c r="M33" s="19" t="s">
        <v>10</v>
      </c>
      <c r="N33" s="19" t="s">
        <v>11</v>
      </c>
    </row>
    <row r="34" spans="2:16" ht="15.75" hidden="1" customHeight="1" x14ac:dyDescent="0.25">
      <c r="B34" s="23" t="s">
        <v>39</v>
      </c>
      <c r="C34" s="17"/>
      <c r="D34" s="17"/>
      <c r="E34" s="17"/>
      <c r="F34" s="17"/>
      <c r="G34" s="17"/>
      <c r="H34" s="17"/>
      <c r="I34" s="17">
        <v>110</v>
      </c>
      <c r="J34" s="17">
        <v>127</v>
      </c>
      <c r="K34" s="17">
        <v>108</v>
      </c>
      <c r="L34" s="17">
        <v>188</v>
      </c>
      <c r="M34" s="17">
        <v>151</v>
      </c>
      <c r="N34" s="17">
        <v>33</v>
      </c>
    </row>
    <row r="35" spans="2:16" ht="15.75" hidden="1" customHeight="1" x14ac:dyDescent="0.25">
      <c r="B35" s="23" t="s">
        <v>22</v>
      </c>
      <c r="C35">
        <f>247+28</f>
        <v>275</v>
      </c>
      <c r="D35">
        <v>365</v>
      </c>
      <c r="E35">
        <f>285+29</f>
        <v>314</v>
      </c>
      <c r="F35">
        <f>32+202</f>
        <v>234</v>
      </c>
      <c r="G35" s="22">
        <f>36+296</f>
        <v>332</v>
      </c>
      <c r="H35">
        <f>256+25</f>
        <v>281</v>
      </c>
      <c r="I35">
        <f>232+37</f>
        <v>269</v>
      </c>
      <c r="J35">
        <f>280+55</f>
        <v>335</v>
      </c>
      <c r="K35">
        <f>29+277</f>
        <v>306</v>
      </c>
      <c r="L35">
        <f>29+386</f>
        <v>415</v>
      </c>
      <c r="M35">
        <v>438</v>
      </c>
      <c r="N35">
        <v>264</v>
      </c>
    </row>
    <row r="36" spans="2:16" ht="15.75" hidden="1" customHeight="1" x14ac:dyDescent="0.25">
      <c r="B36" s="23" t="s">
        <v>23</v>
      </c>
      <c r="C36">
        <f>565+1200</f>
        <v>1765</v>
      </c>
      <c r="D36">
        <v>2097</v>
      </c>
      <c r="E36">
        <f>627+2028</f>
        <v>2655</v>
      </c>
      <c r="F36">
        <f>632+1527</f>
        <v>2159</v>
      </c>
      <c r="G36">
        <f>822+1456</f>
        <v>2278</v>
      </c>
      <c r="H36">
        <f>1338+354</f>
        <v>1692</v>
      </c>
      <c r="I36">
        <f>806+1368</f>
        <v>2174</v>
      </c>
      <c r="J36">
        <f>1166+2098</f>
        <v>3264</v>
      </c>
      <c r="K36">
        <f>680+2117</f>
        <v>2797</v>
      </c>
      <c r="L36">
        <f>573+2079</f>
        <v>2652</v>
      </c>
      <c r="M36">
        <v>5810</v>
      </c>
      <c r="N36">
        <v>3343</v>
      </c>
    </row>
    <row r="37" spans="2:16" ht="15.75" hidden="1" customHeight="1" x14ac:dyDescent="0.25">
      <c r="B37" s="23" t="s">
        <v>20</v>
      </c>
      <c r="C37" s="12">
        <f t="shared" ref="C37:N37" si="6">C24/C35</f>
        <v>112.16720000000001</v>
      </c>
      <c r="D37" s="12">
        <f t="shared" si="6"/>
        <v>115.03219178082192</v>
      </c>
      <c r="E37" s="12">
        <f t="shared" si="6"/>
        <v>117.75971337579618</v>
      </c>
      <c r="F37" s="12">
        <f t="shared" si="6"/>
        <v>113.66102564102565</v>
      </c>
      <c r="G37" s="12">
        <f t="shared" si="6"/>
        <v>108.93141566265061</v>
      </c>
      <c r="H37" s="12">
        <f t="shared" si="6"/>
        <v>96.404519572953745</v>
      </c>
      <c r="I37" s="12">
        <f t="shared" si="6"/>
        <v>122.95591078066914</v>
      </c>
      <c r="J37" s="12">
        <f t="shared" si="6"/>
        <v>126.85011940298507</v>
      </c>
      <c r="K37" s="12">
        <f t="shared" si="6"/>
        <v>123.3812091503268</v>
      </c>
      <c r="L37" s="12">
        <f t="shared" si="6"/>
        <v>95.686096385542157</v>
      </c>
      <c r="M37" s="12">
        <f t="shared" si="6"/>
        <v>115.00687214611872</v>
      </c>
      <c r="N37" s="12">
        <f t="shared" si="6"/>
        <v>141.6401515151515</v>
      </c>
    </row>
    <row r="38" spans="2:16" ht="15.75" hidden="1" customHeight="1" x14ac:dyDescent="0.25">
      <c r="B38" s="23" t="s">
        <v>24</v>
      </c>
      <c r="C38" s="86">
        <v>1</v>
      </c>
      <c r="D38" s="86">
        <v>0.6</v>
      </c>
      <c r="E38" s="86">
        <v>0.92</v>
      </c>
      <c r="F38" s="86">
        <v>0.83</v>
      </c>
      <c r="G38" s="86">
        <v>1</v>
      </c>
      <c r="H38" s="86">
        <v>1</v>
      </c>
      <c r="I38" s="86">
        <v>1</v>
      </c>
      <c r="J38" s="86">
        <v>0.89</v>
      </c>
      <c r="K38" s="86">
        <v>0.94</v>
      </c>
      <c r="L38" s="86">
        <v>0.88</v>
      </c>
      <c r="M38" s="87">
        <v>0.88</v>
      </c>
      <c r="N38" s="87">
        <v>0.84</v>
      </c>
    </row>
    <row r="40" spans="2:16" ht="19.5" customHeight="1" x14ac:dyDescent="0.25">
      <c r="B40" s="40">
        <v>2023</v>
      </c>
      <c r="C40" s="2" t="s">
        <v>0</v>
      </c>
      <c r="D40" s="2" t="s">
        <v>1</v>
      </c>
      <c r="E40" s="3" t="s">
        <v>2</v>
      </c>
      <c r="F40" s="3" t="s">
        <v>3</v>
      </c>
      <c r="G40" s="3" t="s">
        <v>4</v>
      </c>
      <c r="H40" s="2" t="s">
        <v>5</v>
      </c>
      <c r="I40" s="2" t="s">
        <v>6</v>
      </c>
      <c r="J40" s="3" t="s">
        <v>7</v>
      </c>
      <c r="K40" s="3" t="s">
        <v>8</v>
      </c>
      <c r="L40" s="3" t="s">
        <v>9</v>
      </c>
      <c r="M40" s="3" t="s">
        <v>10</v>
      </c>
      <c r="N40" s="2" t="s">
        <v>11</v>
      </c>
    </row>
    <row r="41" spans="2:16" ht="19.5" customHeight="1" x14ac:dyDescent="0.3">
      <c r="B41" s="5" t="s">
        <v>27</v>
      </c>
      <c r="C41" s="6">
        <v>30000</v>
      </c>
      <c r="D41" s="6">
        <v>35000</v>
      </c>
      <c r="E41" s="7">
        <v>45000</v>
      </c>
      <c r="F41" s="7">
        <v>45000</v>
      </c>
      <c r="G41" s="7">
        <v>45000</v>
      </c>
      <c r="H41" s="6">
        <v>35000</v>
      </c>
      <c r="I41" s="6">
        <v>35000</v>
      </c>
      <c r="J41" s="7">
        <v>45000</v>
      </c>
      <c r="K41" s="7">
        <v>45000</v>
      </c>
      <c r="L41" s="7">
        <v>45000</v>
      </c>
      <c r="M41" s="7">
        <v>45000</v>
      </c>
      <c r="N41" s="6">
        <v>35000</v>
      </c>
      <c r="O41" s="7">
        <f>SUM(C41:N41)</f>
        <v>485000</v>
      </c>
      <c r="P41" s="97">
        <f>(O41/O24)-1</f>
        <v>0.10111860482233626</v>
      </c>
    </row>
    <row r="42" spans="2:16" ht="19.5" customHeight="1" x14ac:dyDescent="0.3">
      <c r="B42" s="5"/>
      <c r="C42" s="6"/>
      <c r="D42" s="6"/>
      <c r="E42" s="7"/>
      <c r="F42" s="7">
        <v>60000</v>
      </c>
      <c r="G42" s="7">
        <v>60000</v>
      </c>
      <c r="H42" s="6"/>
      <c r="I42" s="140" t="s">
        <v>40</v>
      </c>
      <c r="J42" s="141">
        <v>60000</v>
      </c>
      <c r="K42" s="141">
        <v>60000</v>
      </c>
      <c r="L42" s="141">
        <v>60000</v>
      </c>
      <c r="M42" s="141">
        <v>60000</v>
      </c>
      <c r="N42" s="6"/>
      <c r="O42" s="7"/>
      <c r="P42" s="97"/>
    </row>
    <row r="43" spans="2:16" ht="15.75" customHeight="1" x14ac:dyDescent="0.25">
      <c r="B43" s="8" t="s">
        <v>13</v>
      </c>
      <c r="C43" s="4">
        <v>6888.43</v>
      </c>
      <c r="D43" s="4">
        <v>16436.939999999999</v>
      </c>
      <c r="E43" s="4">
        <v>25990.42</v>
      </c>
      <c r="F43" s="4">
        <v>23921.62</v>
      </c>
      <c r="G43" s="4">
        <v>13888.13</v>
      </c>
      <c r="H43" s="4">
        <v>17693.11</v>
      </c>
      <c r="I43" s="4">
        <v>22985.03</v>
      </c>
      <c r="J43" s="4">
        <v>17944.2</v>
      </c>
      <c r="K43" s="4">
        <v>10197.57</v>
      </c>
      <c r="L43" s="4">
        <v>12501.25</v>
      </c>
      <c r="M43" s="4">
        <v>19766.93</v>
      </c>
      <c r="N43" s="4">
        <v>8736.11</v>
      </c>
    </row>
    <row r="44" spans="2:16" s="11" customFormat="1" ht="15.75" customHeight="1" x14ac:dyDescent="0.25">
      <c r="B44" s="89" t="s">
        <v>14</v>
      </c>
      <c r="C44" s="12">
        <v>28157.08</v>
      </c>
      <c r="D44" s="12">
        <v>36782.36</v>
      </c>
      <c r="E44" s="12">
        <v>35874.93</v>
      </c>
      <c r="F44" s="12">
        <v>35593.15</v>
      </c>
      <c r="G44" s="12">
        <v>38234.51</v>
      </c>
      <c r="H44" s="12">
        <v>31066.55</v>
      </c>
      <c r="I44" s="12">
        <v>33136.94</v>
      </c>
      <c r="J44" s="12">
        <v>46859.31</v>
      </c>
      <c r="K44" s="12">
        <v>37421.79</v>
      </c>
      <c r="L44" s="12">
        <v>43675.5</v>
      </c>
      <c r="M44" s="12">
        <v>49301.23</v>
      </c>
      <c r="N44" s="12">
        <v>28672.47</v>
      </c>
    </row>
    <row r="45" spans="2:16" ht="18.75" customHeight="1" x14ac:dyDescent="0.3">
      <c r="B45" s="11" t="s">
        <v>41</v>
      </c>
      <c r="C45" s="73">
        <f t="shared" ref="C45:J45" si="7">C43+C44</f>
        <v>35045.51</v>
      </c>
      <c r="D45" s="73">
        <f t="shared" si="7"/>
        <v>53219.3</v>
      </c>
      <c r="E45" s="73">
        <f t="shared" si="7"/>
        <v>61865.35</v>
      </c>
      <c r="F45" s="73">
        <f t="shared" si="7"/>
        <v>59514.770000000004</v>
      </c>
      <c r="G45" s="119">
        <f t="shared" si="7"/>
        <v>52122.64</v>
      </c>
      <c r="H45" s="73">
        <f t="shared" si="7"/>
        <v>48759.66</v>
      </c>
      <c r="I45" s="73">
        <f t="shared" si="7"/>
        <v>56121.97</v>
      </c>
      <c r="J45" s="73">
        <f t="shared" si="7"/>
        <v>64803.509999999995</v>
      </c>
      <c r="K45" s="119">
        <v>47619.360000000001</v>
      </c>
      <c r="L45" s="119">
        <f>L43+L44</f>
        <v>56176.75</v>
      </c>
      <c r="M45" s="69">
        <v>69068.160000000003</v>
      </c>
      <c r="N45" s="174">
        <f>N43+N44</f>
        <v>37408.58</v>
      </c>
      <c r="O45" s="7">
        <f>SUM(C45:N45)</f>
        <v>641725.55999999994</v>
      </c>
      <c r="P45" s="97">
        <f>O45/O24</f>
        <v>1.4569401099093451</v>
      </c>
    </row>
    <row r="46" spans="2:16" ht="15.75" customHeight="1" x14ac:dyDescent="0.25">
      <c r="B46" s="14" t="s">
        <v>33</v>
      </c>
      <c r="C46" s="16">
        <f t="shared" ref="C46:N46" si="8">(C45/C41)-1</f>
        <v>0.16818366666666673</v>
      </c>
      <c r="D46" s="16">
        <f t="shared" si="8"/>
        <v>0.52055142857142855</v>
      </c>
      <c r="E46" s="16">
        <f t="shared" si="8"/>
        <v>0.37478555555555548</v>
      </c>
      <c r="F46" s="16">
        <f t="shared" si="8"/>
        <v>0.32255044444444447</v>
      </c>
      <c r="G46" s="16">
        <f t="shared" si="8"/>
        <v>0.15828088888888892</v>
      </c>
      <c r="H46" s="16">
        <f t="shared" si="8"/>
        <v>0.39313314285714296</v>
      </c>
      <c r="I46" s="16">
        <f t="shared" si="8"/>
        <v>0.60348485714285727</v>
      </c>
      <c r="J46" s="16">
        <f t="shared" si="8"/>
        <v>0.44007799999999997</v>
      </c>
      <c r="K46" s="16">
        <f t="shared" si="8"/>
        <v>5.8208000000000037E-2</v>
      </c>
      <c r="L46" s="16">
        <f t="shared" si="8"/>
        <v>0.24837222222222222</v>
      </c>
      <c r="M46" s="16">
        <f t="shared" si="8"/>
        <v>0.53484799999999999</v>
      </c>
      <c r="N46" s="16">
        <f t="shared" si="8"/>
        <v>6.881657142857156E-2</v>
      </c>
    </row>
    <row r="47" spans="2:16" ht="15.75" customHeight="1" x14ac:dyDescent="0.25">
      <c r="B47" s="14" t="s">
        <v>17</v>
      </c>
      <c r="C47" s="16">
        <f t="shared" ref="C47:N47" si="9">(C45/C24)-1</f>
        <v>0.13614513139151363</v>
      </c>
      <c r="D47" s="16">
        <f t="shared" si="9"/>
        <v>0.26752606477043361</v>
      </c>
      <c r="E47" s="16">
        <f t="shared" si="9"/>
        <v>0.67309686815021941</v>
      </c>
      <c r="F47" s="16">
        <f t="shared" si="9"/>
        <v>1.237676657387313</v>
      </c>
      <c r="G47" s="16">
        <f t="shared" si="9"/>
        <v>0.44123623712610138</v>
      </c>
      <c r="H47" s="16">
        <f t="shared" si="9"/>
        <v>0.7999355473876204</v>
      </c>
      <c r="I47" s="16">
        <f t="shared" si="9"/>
        <v>0.69680219040645031</v>
      </c>
      <c r="J47" s="16">
        <f t="shared" si="9"/>
        <v>0.52497541463318198</v>
      </c>
      <c r="K47" s="16">
        <f t="shared" si="9"/>
        <v>0.26128463646199873</v>
      </c>
      <c r="L47" s="16">
        <f t="shared" si="9"/>
        <v>0.41468476365868034</v>
      </c>
      <c r="M47" s="16">
        <f t="shared" si="9"/>
        <v>0.37113426416249506</v>
      </c>
      <c r="N47" s="16">
        <f t="shared" si="9"/>
        <v>4.1665552376124459E-4</v>
      </c>
    </row>
    <row r="48" spans="2:16" ht="15.75" hidden="1" customHeight="1" x14ac:dyDescent="0.25">
      <c r="B48" s="14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2:16" ht="18.75" hidden="1" customHeight="1" x14ac:dyDescent="0.3">
      <c r="B49" s="5" t="s">
        <v>34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 t="s">
        <v>35</v>
      </c>
      <c r="N49" s="18"/>
      <c r="P49" s="9"/>
    </row>
    <row r="50" spans="2:16" ht="15.75" hidden="1" customHeight="1" x14ac:dyDescent="0.25">
      <c r="B50" s="14" t="s">
        <v>34</v>
      </c>
      <c r="C50" s="18">
        <f t="shared" ref="C50:N50" si="10">C51+C52</f>
        <v>53251.26</v>
      </c>
      <c r="D50" s="18">
        <f t="shared" si="10"/>
        <v>64856.89</v>
      </c>
      <c r="E50" s="18">
        <f t="shared" si="10"/>
        <v>81684.87</v>
      </c>
      <c r="F50" s="18">
        <f t="shared" si="10"/>
        <v>61329.72</v>
      </c>
      <c r="G50" s="18">
        <f t="shared" si="10"/>
        <v>90359.7</v>
      </c>
      <c r="H50" s="18">
        <f t="shared" si="10"/>
        <v>57655.28</v>
      </c>
      <c r="I50" s="18">
        <f t="shared" si="10"/>
        <v>61038.42</v>
      </c>
      <c r="J50" s="18">
        <f t="shared" si="10"/>
        <v>82203.8</v>
      </c>
      <c r="K50" s="18">
        <f t="shared" si="10"/>
        <v>70161.39</v>
      </c>
      <c r="L50" s="18">
        <f t="shared" si="10"/>
        <v>71376.66</v>
      </c>
      <c r="M50" s="18">
        <f t="shared" si="10"/>
        <v>89706.95</v>
      </c>
      <c r="N50" s="18">
        <f t="shared" si="10"/>
        <v>51264.69</v>
      </c>
      <c r="P50" s="9"/>
    </row>
    <row r="51" spans="2:16" ht="15.75" hidden="1" customHeight="1" x14ac:dyDescent="0.25">
      <c r="B51" s="14" t="s">
        <v>36</v>
      </c>
      <c r="C51" s="18">
        <v>30630.54</v>
      </c>
      <c r="D51" s="18">
        <v>40108.589999999997</v>
      </c>
      <c r="E51" s="18">
        <v>40016.870000000003</v>
      </c>
      <c r="F51" s="18">
        <v>36944.53</v>
      </c>
      <c r="G51" s="18">
        <v>43825.24</v>
      </c>
      <c r="H51" s="18">
        <v>32529.7</v>
      </c>
      <c r="I51" s="18">
        <v>36641.019999999997</v>
      </c>
      <c r="J51" s="18">
        <v>47713.57</v>
      </c>
      <c r="K51" s="18">
        <v>45005</v>
      </c>
      <c r="L51" s="18">
        <v>46463</v>
      </c>
      <c r="M51" s="93">
        <v>59884.38</v>
      </c>
      <c r="N51" s="18">
        <v>33676.82</v>
      </c>
      <c r="P51" s="9"/>
    </row>
    <row r="52" spans="2:16" s="83" customFormat="1" ht="15.75" hidden="1" customHeight="1" x14ac:dyDescent="0.25">
      <c r="B52" s="82" t="s">
        <v>37</v>
      </c>
      <c r="C52" s="84">
        <v>22620.720000000001</v>
      </c>
      <c r="D52" s="84">
        <v>24748.3</v>
      </c>
      <c r="E52" s="84">
        <v>41668</v>
      </c>
      <c r="F52" s="84">
        <v>24385.19</v>
      </c>
      <c r="G52" s="84">
        <v>46534.46</v>
      </c>
      <c r="H52" s="84">
        <v>25125.58</v>
      </c>
      <c r="I52" s="84">
        <v>24397.4</v>
      </c>
      <c r="J52" s="84">
        <v>34490.230000000003</v>
      </c>
      <c r="K52" s="84">
        <v>25156.39</v>
      </c>
      <c r="L52" s="84">
        <v>24913.66</v>
      </c>
      <c r="M52" s="84">
        <v>29822.57</v>
      </c>
      <c r="N52" s="84">
        <v>17587.87</v>
      </c>
      <c r="P52" s="77"/>
    </row>
    <row r="53" spans="2:16" ht="15.75" hidden="1" customHeight="1" x14ac:dyDescent="0.25">
      <c r="B53" s="14" t="s">
        <v>38</v>
      </c>
      <c r="C53" s="104">
        <f t="shared" ref="C53:N53" si="11">C51/C50</f>
        <v>0.57520779789999332</v>
      </c>
      <c r="D53" s="104">
        <f t="shared" si="11"/>
        <v>0.61841679426811857</v>
      </c>
      <c r="E53" s="104">
        <f t="shared" si="11"/>
        <v>0.48989329358056155</v>
      </c>
      <c r="F53" s="104">
        <f t="shared" si="11"/>
        <v>0.60239195613480701</v>
      </c>
      <c r="G53" s="104">
        <f t="shared" si="11"/>
        <v>0.48500869303461608</v>
      </c>
      <c r="H53" s="104">
        <f t="shared" si="11"/>
        <v>0.56421025099522548</v>
      </c>
      <c r="I53" s="104">
        <f t="shared" si="11"/>
        <v>0.60029437197096513</v>
      </c>
      <c r="J53" s="104">
        <f t="shared" si="11"/>
        <v>0.58043022342032846</v>
      </c>
      <c r="K53" s="104">
        <f t="shared" si="11"/>
        <v>0.64144966341174259</v>
      </c>
      <c r="L53" s="104">
        <f t="shared" si="11"/>
        <v>0.65095508811984193</v>
      </c>
      <c r="M53" s="104">
        <f t="shared" si="11"/>
        <v>0.66755563532145501</v>
      </c>
      <c r="N53" s="85">
        <f t="shared" si="11"/>
        <v>0.65692038711245493</v>
      </c>
      <c r="P53" s="9"/>
    </row>
    <row r="54" spans="2:16" ht="15.75" hidden="1" customHeight="1" x14ac:dyDescent="0.25">
      <c r="B54" s="14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P54" s="9"/>
    </row>
    <row r="55" spans="2:16" s="122" customFormat="1" ht="15.75" hidden="1" customHeight="1" x14ac:dyDescent="0.25">
      <c r="B55" s="126" t="s">
        <v>42</v>
      </c>
      <c r="C55" s="142">
        <v>45266</v>
      </c>
      <c r="D55" s="142">
        <v>45266</v>
      </c>
      <c r="E55" s="142">
        <v>45266</v>
      </c>
      <c r="F55" s="142">
        <v>45266</v>
      </c>
      <c r="G55" s="142">
        <v>45266</v>
      </c>
      <c r="H55" s="142">
        <v>45266</v>
      </c>
      <c r="I55" s="142">
        <v>45266</v>
      </c>
      <c r="J55" s="142">
        <v>45266</v>
      </c>
      <c r="K55" s="142">
        <v>45266</v>
      </c>
      <c r="L55" s="142">
        <v>45266</v>
      </c>
      <c r="M55" s="142">
        <v>45266</v>
      </c>
      <c r="N55" s="121"/>
    </row>
    <row r="56" spans="2:16" s="123" customFormat="1" ht="15.75" hidden="1" customHeight="1" x14ac:dyDescent="0.25">
      <c r="B56" s="124"/>
      <c r="C56" s="143">
        <v>20680.330000000002</v>
      </c>
      <c r="D56" s="143">
        <v>21127.68</v>
      </c>
      <c r="E56" s="143">
        <v>34187.25</v>
      </c>
      <c r="F56" s="143">
        <v>23101.51</v>
      </c>
      <c r="G56" s="143">
        <v>40242.01</v>
      </c>
      <c r="H56" s="143">
        <v>19774.82</v>
      </c>
      <c r="I56" s="143">
        <v>22639.41</v>
      </c>
      <c r="J56" s="143">
        <v>27664.82</v>
      </c>
      <c r="K56" s="143">
        <v>21841.29</v>
      </c>
      <c r="L56" s="143">
        <v>23698.400000000001</v>
      </c>
      <c r="M56" s="143"/>
      <c r="N56" s="125"/>
    </row>
    <row r="57" spans="2:16" s="135" customFormat="1" ht="23.25" hidden="1" customHeight="1" x14ac:dyDescent="0.25">
      <c r="B57" s="132" t="s">
        <v>43</v>
      </c>
      <c r="C57" s="133">
        <f t="shared" ref="C57:M57" si="12">C45+C52</f>
        <v>57666.23</v>
      </c>
      <c r="D57" s="133">
        <f t="shared" si="12"/>
        <v>77967.600000000006</v>
      </c>
      <c r="E57" s="139">
        <f t="shared" si="12"/>
        <v>103533.35</v>
      </c>
      <c r="F57" s="138">
        <f t="shared" si="12"/>
        <v>83899.96</v>
      </c>
      <c r="G57" s="138">
        <f t="shared" si="12"/>
        <v>98657.1</v>
      </c>
      <c r="H57" s="133">
        <f t="shared" si="12"/>
        <v>73885.240000000005</v>
      </c>
      <c r="I57" s="137">
        <f t="shared" si="12"/>
        <v>80519.37</v>
      </c>
      <c r="J57" s="137">
        <f t="shared" si="12"/>
        <v>99293.739999999991</v>
      </c>
      <c r="K57" s="137">
        <f t="shared" si="12"/>
        <v>72775.75</v>
      </c>
      <c r="L57" s="137">
        <f t="shared" si="12"/>
        <v>81090.41</v>
      </c>
      <c r="M57" s="137">
        <f t="shared" si="12"/>
        <v>98890.73000000001</v>
      </c>
      <c r="N57" s="134"/>
      <c r="P57" s="136"/>
    </row>
    <row r="58" spans="2:16" ht="15.75" hidden="1" customHeight="1" x14ac:dyDescent="0.25">
      <c r="B58" s="14"/>
      <c r="C58" s="125"/>
      <c r="D58" s="125"/>
      <c r="E58" s="125"/>
      <c r="F58" s="125"/>
      <c r="G58" s="125"/>
      <c r="H58" s="125"/>
      <c r="I58" s="125"/>
      <c r="J58" s="85"/>
      <c r="K58" s="85"/>
      <c r="L58" s="85"/>
      <c r="M58" s="85"/>
      <c r="N58" s="85"/>
      <c r="P58" s="9"/>
    </row>
    <row r="59" spans="2:16" ht="15.75" hidden="1" customHeight="1" x14ac:dyDescent="0.25">
      <c r="B59" s="14" t="s">
        <v>44</v>
      </c>
      <c r="C59" s="107">
        <v>0.11890000000000001</v>
      </c>
      <c r="D59" s="98">
        <v>0.216</v>
      </c>
      <c r="E59" s="98">
        <v>0.14000000000000001</v>
      </c>
      <c r="F59" s="98">
        <v>0.16</v>
      </c>
      <c r="G59" s="98">
        <v>0.15110000000000001</v>
      </c>
      <c r="H59" s="98">
        <v>0.14000000000000001</v>
      </c>
      <c r="I59" s="145"/>
      <c r="J59" s="145"/>
      <c r="K59" s="145"/>
      <c r="L59" s="145"/>
      <c r="M59" s="169"/>
      <c r="N59" s="97">
        <v>0.08</v>
      </c>
    </row>
    <row r="60" spans="2:16" ht="15.75" hidden="1" customHeight="1" x14ac:dyDescent="0.25">
      <c r="B60" s="14" t="s">
        <v>45</v>
      </c>
      <c r="C60" s="110">
        <f>C52/C70</f>
        <v>206.54943814485793</v>
      </c>
      <c r="D60" s="110">
        <f>D52/D70</f>
        <v>199.96070974251822</v>
      </c>
      <c r="E60" s="110">
        <f>E52/E70</f>
        <v>307.80196022490782</v>
      </c>
      <c r="F60" s="110">
        <f>F52/F70</f>
        <v>174.13670169606632</v>
      </c>
      <c r="G60" s="110">
        <f>G52/G70</f>
        <v>414.25356505349691</v>
      </c>
      <c r="H60" s="110"/>
      <c r="I60" s="110">
        <f t="shared" ref="I60:N60" si="13">I52/I70</f>
        <v>178.67033890649245</v>
      </c>
      <c r="J60" s="110">
        <f t="shared" si="13"/>
        <v>292.19306593115101</v>
      </c>
      <c r="K60" s="110">
        <f t="shared" si="13"/>
        <v>241.42429108665044</v>
      </c>
      <c r="L60" s="110">
        <f t="shared" si="13"/>
        <v>204.44752072699114</v>
      </c>
      <c r="M60" s="110">
        <f t="shared" si="13"/>
        <v>237.04976258235342</v>
      </c>
      <c r="N60" s="110">
        <f t="shared" si="13"/>
        <v>155.15149465710806</v>
      </c>
    </row>
    <row r="61" spans="2:16" ht="15.75" hidden="1" customHeight="1" x14ac:dyDescent="0.25">
      <c r="B61" s="14" t="s">
        <v>46</v>
      </c>
      <c r="M61" s="145"/>
    </row>
    <row r="62" spans="2:16" ht="15.75" hidden="1" customHeight="1" x14ac:dyDescent="0.25">
      <c r="B62" s="14"/>
    </row>
    <row r="63" spans="2:16" ht="15.75" hidden="1" customHeight="1" x14ac:dyDescent="0.25">
      <c r="B63" s="3" t="s">
        <v>47</v>
      </c>
      <c r="C63" s="19" t="s">
        <v>0</v>
      </c>
      <c r="D63" s="19" t="s">
        <v>1</v>
      </c>
      <c r="E63" s="19" t="s">
        <v>2</v>
      </c>
      <c r="F63" s="19" t="s">
        <v>3</v>
      </c>
      <c r="G63" s="19" t="s">
        <v>4</v>
      </c>
      <c r="H63" s="19" t="s">
        <v>5</v>
      </c>
      <c r="I63" s="19" t="s">
        <v>6</v>
      </c>
      <c r="J63" s="19" t="s">
        <v>7</v>
      </c>
      <c r="K63" s="19" t="s">
        <v>8</v>
      </c>
      <c r="L63" s="19" t="s">
        <v>9</v>
      </c>
      <c r="M63" s="19" t="s">
        <v>10</v>
      </c>
      <c r="N63" s="19" t="s">
        <v>11</v>
      </c>
    </row>
    <row r="64" spans="2:16" ht="15.75" hidden="1" customHeight="1" x14ac:dyDescent="0.25">
      <c r="B64" s="23" t="s">
        <v>39</v>
      </c>
      <c r="C64" s="114">
        <v>123</v>
      </c>
      <c r="D64" s="114">
        <v>157</v>
      </c>
      <c r="E64" s="17">
        <v>180</v>
      </c>
      <c r="F64" s="17">
        <v>151</v>
      </c>
      <c r="G64" s="17">
        <v>172</v>
      </c>
      <c r="H64" s="17">
        <v>152</v>
      </c>
      <c r="I64" s="17">
        <v>147</v>
      </c>
      <c r="J64" s="17">
        <v>185</v>
      </c>
      <c r="K64" s="17">
        <v>165</v>
      </c>
      <c r="L64" s="17">
        <v>134</v>
      </c>
      <c r="M64" s="17">
        <v>163</v>
      </c>
      <c r="N64" s="17">
        <v>98</v>
      </c>
    </row>
    <row r="65" spans="2:15" ht="15.75" hidden="1" customHeight="1" x14ac:dyDescent="0.25">
      <c r="B65" s="23" t="s">
        <v>48</v>
      </c>
      <c r="C65" s="149">
        <f t="shared" ref="C65:M65" si="14">C64/C66</f>
        <v>0.38437500000000002</v>
      </c>
      <c r="D65" s="149">
        <f t="shared" si="14"/>
        <v>0.36511627906976746</v>
      </c>
      <c r="E65" s="149">
        <f t="shared" si="14"/>
        <v>0.39387308533916848</v>
      </c>
      <c r="F65" s="149">
        <f t="shared" si="14"/>
        <v>0.35529411764705882</v>
      </c>
      <c r="G65" s="149">
        <f t="shared" si="14"/>
        <v>0.37068965517241381</v>
      </c>
      <c r="H65" s="149">
        <f t="shared" si="14"/>
        <v>0.35185185185185186</v>
      </c>
      <c r="I65" s="149">
        <f t="shared" si="14"/>
        <v>0.35766423357664234</v>
      </c>
      <c r="J65" s="149">
        <f t="shared" si="14"/>
        <v>0.33697632058287796</v>
      </c>
      <c r="K65" s="149">
        <f t="shared" si="14"/>
        <v>0.3610503282275711</v>
      </c>
      <c r="L65" s="149">
        <f t="shared" si="14"/>
        <v>0.29067245119305857</v>
      </c>
      <c r="M65" s="149">
        <f t="shared" si="14"/>
        <v>0.29690346083788705</v>
      </c>
      <c r="N65" s="17"/>
    </row>
    <row r="66" spans="2:15" ht="15.75" hidden="1" customHeight="1" x14ac:dyDescent="0.25">
      <c r="B66" s="23" t="s">
        <v>22</v>
      </c>
      <c r="C66">
        <v>320</v>
      </c>
      <c r="D66">
        <f>57+373</f>
        <v>430</v>
      </c>
      <c r="E66">
        <f>383+74</f>
        <v>457</v>
      </c>
      <c r="F66">
        <v>425</v>
      </c>
      <c r="G66">
        <v>464</v>
      </c>
      <c r="H66">
        <v>432</v>
      </c>
      <c r="I66">
        <v>411</v>
      </c>
      <c r="J66">
        <v>549</v>
      </c>
      <c r="K66">
        <v>457</v>
      </c>
      <c r="L66">
        <v>461</v>
      </c>
      <c r="M66">
        <v>549</v>
      </c>
      <c r="N66">
        <v>330</v>
      </c>
    </row>
    <row r="67" spans="2:15" ht="15.75" hidden="1" customHeight="1" x14ac:dyDescent="0.25">
      <c r="B67" s="23" t="s">
        <v>23</v>
      </c>
      <c r="C67" s="81">
        <v>5046</v>
      </c>
      <c r="D67">
        <f>2646+1243</f>
        <v>3889</v>
      </c>
      <c r="E67">
        <f>2600+1905</f>
        <v>4505</v>
      </c>
      <c r="F67">
        <v>5989</v>
      </c>
      <c r="G67">
        <v>5685</v>
      </c>
      <c r="H67">
        <f>3805+1268</f>
        <v>5073</v>
      </c>
      <c r="I67">
        <v>5119</v>
      </c>
      <c r="J67">
        <v>1722</v>
      </c>
      <c r="K67">
        <v>4286</v>
      </c>
      <c r="L67">
        <v>5907</v>
      </c>
      <c r="M67">
        <v>7411</v>
      </c>
      <c r="N67">
        <v>3687</v>
      </c>
    </row>
    <row r="68" spans="2:15" ht="15.75" hidden="1" customHeight="1" x14ac:dyDescent="0.25">
      <c r="B68" s="23"/>
    </row>
    <row r="69" spans="2:15" ht="15.75" hidden="1" customHeight="1" x14ac:dyDescent="0.25">
      <c r="B69" s="23" t="s">
        <v>49</v>
      </c>
      <c r="C69" s="102">
        <f t="shared" ref="C69:K69" si="15">C67/C66</f>
        <v>15.768750000000001</v>
      </c>
      <c r="D69" s="102">
        <f t="shared" si="15"/>
        <v>9.0441860465116282</v>
      </c>
      <c r="E69" s="102">
        <f t="shared" si="15"/>
        <v>9.8577680525164109</v>
      </c>
      <c r="F69" s="102">
        <f t="shared" si="15"/>
        <v>14.091764705882353</v>
      </c>
      <c r="G69" s="102">
        <f t="shared" si="15"/>
        <v>12.252155172413794</v>
      </c>
      <c r="H69" s="102">
        <f t="shared" si="15"/>
        <v>11.743055555555555</v>
      </c>
      <c r="I69" s="102">
        <f t="shared" si="15"/>
        <v>12.454987834549879</v>
      </c>
      <c r="J69" s="102">
        <f t="shared" si="15"/>
        <v>3.1366120218579234</v>
      </c>
      <c r="K69" s="102">
        <f t="shared" si="15"/>
        <v>9.3785557986870902</v>
      </c>
      <c r="L69" s="102"/>
      <c r="M69" s="102">
        <f>M67/M66</f>
        <v>13.499089253187615</v>
      </c>
      <c r="N69" s="102">
        <f>N67/N66</f>
        <v>11.172727272727272</v>
      </c>
    </row>
    <row r="70" spans="2:15" ht="15.75" hidden="1" customHeight="1" x14ac:dyDescent="0.25">
      <c r="B70" s="23" t="s">
        <v>50</v>
      </c>
      <c r="C70" s="112">
        <f t="shared" ref="C70:N70" si="16">C45/C66</f>
        <v>109.51721875000001</v>
      </c>
      <c r="D70" s="112">
        <f t="shared" si="16"/>
        <v>123.76581395348838</v>
      </c>
      <c r="E70" s="112">
        <f t="shared" si="16"/>
        <v>135.37275711159737</v>
      </c>
      <c r="F70" s="118">
        <f t="shared" si="16"/>
        <v>140.03475294117649</v>
      </c>
      <c r="G70" s="118">
        <f t="shared" si="16"/>
        <v>112.33327586206896</v>
      </c>
      <c r="H70" s="144">
        <f t="shared" si="16"/>
        <v>112.86958333333334</v>
      </c>
      <c r="I70" s="144">
        <f t="shared" si="16"/>
        <v>136.54980535279805</v>
      </c>
      <c r="J70" s="144">
        <f t="shared" si="16"/>
        <v>118.03918032786885</v>
      </c>
      <c r="K70" s="101">
        <f t="shared" si="16"/>
        <v>104.19991247264771</v>
      </c>
      <c r="L70" s="101">
        <f t="shared" si="16"/>
        <v>121.85845986984816</v>
      </c>
      <c r="M70" s="101">
        <f t="shared" si="16"/>
        <v>125.80721311475411</v>
      </c>
      <c r="N70" s="11">
        <f t="shared" si="16"/>
        <v>113.35933333333334</v>
      </c>
    </row>
    <row r="71" spans="2:15" ht="15.75" hidden="1" customHeight="1" x14ac:dyDescent="0.25">
      <c r="B71" s="23"/>
      <c r="C71" s="10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2:15" s="83" customFormat="1" ht="15.75" hidden="1" customHeight="1" x14ac:dyDescent="0.25">
      <c r="B72" s="150" t="s">
        <v>24</v>
      </c>
      <c r="C72" s="15">
        <v>0.9</v>
      </c>
      <c r="D72" s="151">
        <v>1</v>
      </c>
      <c r="E72" s="151">
        <v>1</v>
      </c>
      <c r="F72" s="151">
        <v>0.8</v>
      </c>
      <c r="G72" s="151">
        <v>0.87</v>
      </c>
      <c r="H72" s="151">
        <v>1</v>
      </c>
      <c r="I72" s="151">
        <v>0.88</v>
      </c>
      <c r="J72" s="152"/>
      <c r="K72" s="151">
        <v>0.87</v>
      </c>
      <c r="L72" s="151">
        <v>0.91</v>
      </c>
      <c r="M72" s="151">
        <v>0.66</v>
      </c>
      <c r="N72" s="170">
        <v>1</v>
      </c>
    </row>
    <row r="73" spans="2:15" s="83" customFormat="1" ht="15.75" hidden="1" customHeight="1" x14ac:dyDescent="0.25">
      <c r="B73" s="150" t="s">
        <v>51</v>
      </c>
      <c r="C73" s="83">
        <v>2</v>
      </c>
      <c r="D73" s="83">
        <v>2</v>
      </c>
      <c r="E73" s="83">
        <v>23</v>
      </c>
      <c r="F73" s="83">
        <v>15</v>
      </c>
      <c r="G73" s="83">
        <v>15</v>
      </c>
      <c r="I73" s="83">
        <v>18</v>
      </c>
      <c r="K73" s="83">
        <v>8</v>
      </c>
      <c r="L73" s="83">
        <v>12</v>
      </c>
      <c r="M73" s="83">
        <v>12</v>
      </c>
      <c r="N73" s="83">
        <v>5</v>
      </c>
    </row>
    <row r="74" spans="2:15" ht="15.75" hidden="1" customHeight="1" x14ac:dyDescent="0.25">
      <c r="D74" s="17" t="s">
        <v>52</v>
      </c>
    </row>
    <row r="75" spans="2:15" ht="18" hidden="1" customHeight="1" x14ac:dyDescent="0.25">
      <c r="B75" s="23" t="s">
        <v>53</v>
      </c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9" t="s">
        <v>54</v>
      </c>
      <c r="N75" s="171" t="s">
        <v>55</v>
      </c>
      <c r="O75" s="172"/>
    </row>
    <row r="76" spans="2:15" ht="15.75" hidden="1" customHeight="1" x14ac:dyDescent="0.25">
      <c r="M76" s="54" t="s">
        <v>54</v>
      </c>
      <c r="N76" s="158" t="s">
        <v>56</v>
      </c>
    </row>
    <row r="77" spans="2:15" ht="15.75" hidden="1" customHeight="1" x14ac:dyDescent="0.25">
      <c r="M77" s="54"/>
      <c r="N77" s="158" t="s">
        <v>57</v>
      </c>
    </row>
    <row r="78" spans="2:15" ht="15.75" hidden="1" customHeight="1" x14ac:dyDescent="0.25">
      <c r="M78" s="54"/>
      <c r="N78" s="158" t="s">
        <v>58</v>
      </c>
    </row>
    <row r="79" spans="2:15" ht="15.75" hidden="1" customHeight="1" x14ac:dyDescent="0.25">
      <c r="M79" s="54"/>
      <c r="N79" s="158" t="s">
        <v>59</v>
      </c>
    </row>
    <row r="80" spans="2:15" ht="15.75" hidden="1" customHeight="1" x14ac:dyDescent="0.25">
      <c r="M80" s="54"/>
    </row>
    <row r="81" spans="2:16" ht="15.75" hidden="1" customHeight="1" x14ac:dyDescent="0.25">
      <c r="M81" s="54"/>
    </row>
    <row r="82" spans="2:16" ht="15.75" hidden="1" customHeight="1" x14ac:dyDescent="0.25">
      <c r="F82" s="83" t="s">
        <v>60</v>
      </c>
    </row>
    <row r="83" spans="2:16" ht="19.5" customHeight="1" x14ac:dyDescent="0.25">
      <c r="B83" s="40">
        <v>2024</v>
      </c>
      <c r="C83" s="2" t="s">
        <v>0</v>
      </c>
      <c r="D83" s="2" t="s">
        <v>1</v>
      </c>
      <c r="E83" s="3" t="s">
        <v>2</v>
      </c>
      <c r="F83" s="3" t="s">
        <v>3</v>
      </c>
      <c r="G83" s="3" t="s">
        <v>4</v>
      </c>
      <c r="H83" s="2" t="s">
        <v>5</v>
      </c>
      <c r="I83" s="2" t="s">
        <v>6</v>
      </c>
      <c r="J83" s="3" t="s">
        <v>7</v>
      </c>
      <c r="K83" s="3" t="s">
        <v>8</v>
      </c>
      <c r="L83" s="3" t="s">
        <v>9</v>
      </c>
      <c r="M83" s="3" t="s">
        <v>10</v>
      </c>
      <c r="N83" s="2" t="s">
        <v>11</v>
      </c>
    </row>
    <row r="84" spans="2:16" ht="19.5" customHeight="1" x14ac:dyDescent="0.3">
      <c r="B84" s="5" t="s">
        <v>28</v>
      </c>
      <c r="C84" s="6">
        <v>50000</v>
      </c>
      <c r="D84" s="6">
        <v>50000</v>
      </c>
      <c r="E84" s="7">
        <v>65000</v>
      </c>
      <c r="F84" s="7">
        <v>65000</v>
      </c>
      <c r="G84" s="7">
        <v>65000</v>
      </c>
      <c r="H84" s="6">
        <v>50000</v>
      </c>
      <c r="I84" s="6">
        <v>50000</v>
      </c>
      <c r="J84" s="7">
        <v>65000</v>
      </c>
      <c r="K84" s="7">
        <v>65000</v>
      </c>
      <c r="L84" s="7">
        <v>65000</v>
      </c>
      <c r="M84" s="7">
        <v>65000</v>
      </c>
      <c r="N84" s="6">
        <v>50000</v>
      </c>
      <c r="O84" s="7">
        <f>SUM(C84:N84)</f>
        <v>705000</v>
      </c>
      <c r="P84" s="97">
        <f>O84/O45</f>
        <v>1.0986004671529681</v>
      </c>
    </row>
    <row r="85" spans="2:16" ht="19.5" customHeight="1" x14ac:dyDescent="0.3">
      <c r="B85" s="156" t="s">
        <v>61</v>
      </c>
      <c r="C85" s="6"/>
      <c r="D85" s="6"/>
      <c r="E85" s="7"/>
      <c r="F85" s="7"/>
      <c r="G85" s="7"/>
      <c r="H85" s="6"/>
      <c r="I85" s="6"/>
      <c r="J85" s="157">
        <v>75000</v>
      </c>
      <c r="K85" s="157">
        <v>75000</v>
      </c>
      <c r="L85" s="157">
        <v>75000</v>
      </c>
      <c r="M85" s="157"/>
      <c r="N85" s="6"/>
      <c r="O85" s="7"/>
      <c r="P85" s="97"/>
    </row>
    <row r="86" spans="2:16" ht="15.75" customHeight="1" x14ac:dyDescent="0.25">
      <c r="B86" s="154" t="s">
        <v>13</v>
      </c>
      <c r="C86" s="4">
        <v>14336.84</v>
      </c>
      <c r="D86" s="4">
        <v>21005.54</v>
      </c>
      <c r="E86" s="185">
        <v>11119.33</v>
      </c>
      <c r="F86" s="4">
        <v>19123.84</v>
      </c>
      <c r="G86" s="4">
        <v>17420.32</v>
      </c>
      <c r="H86" s="4">
        <v>15441.92</v>
      </c>
      <c r="I86" s="4">
        <v>17147.98</v>
      </c>
      <c r="J86" s="252">
        <v>16456.43</v>
      </c>
      <c r="K86" s="252">
        <v>12129.63</v>
      </c>
      <c r="L86" s="252">
        <v>20057.150000000001</v>
      </c>
      <c r="M86" s="252">
        <v>17622.46</v>
      </c>
      <c r="N86" s="252">
        <v>18520.04</v>
      </c>
      <c r="O86" s="252"/>
    </row>
    <row r="87" spans="2:16" s="11" customFormat="1" ht="15.75" customHeight="1" x14ac:dyDescent="0.25">
      <c r="B87" s="155" t="s">
        <v>14</v>
      </c>
      <c r="C87" s="12">
        <v>36835.279999999999</v>
      </c>
      <c r="D87" s="12">
        <v>39503.160000000003</v>
      </c>
      <c r="E87" s="185">
        <v>46012.01</v>
      </c>
      <c r="F87" s="198">
        <v>48397.71</v>
      </c>
      <c r="G87" s="12">
        <v>57183.35</v>
      </c>
      <c r="H87" s="12">
        <v>42079.66</v>
      </c>
      <c r="I87" s="12">
        <v>38398.120000000003</v>
      </c>
      <c r="J87" s="12">
        <v>59555.02</v>
      </c>
      <c r="K87" s="12">
        <v>47783.14</v>
      </c>
      <c r="L87" s="12">
        <v>45262.98</v>
      </c>
      <c r="M87" s="12">
        <v>41035.4</v>
      </c>
      <c r="N87" s="12">
        <v>33363.99</v>
      </c>
      <c r="O87" s="12"/>
    </row>
    <row r="88" spans="2:16" ht="18.75" customHeight="1" x14ac:dyDescent="0.3">
      <c r="B88" s="11" t="s">
        <v>62</v>
      </c>
      <c r="C88" s="246">
        <f t="shared" ref="C88:N88" si="17">C86+C87</f>
        <v>51172.119999999995</v>
      </c>
      <c r="D88" s="246">
        <f t="shared" si="17"/>
        <v>60508.700000000004</v>
      </c>
      <c r="E88" s="199">
        <f t="shared" si="17"/>
        <v>57131.340000000004</v>
      </c>
      <c r="F88" s="246">
        <f t="shared" si="17"/>
        <v>67521.55</v>
      </c>
      <c r="G88" s="246">
        <f t="shared" si="17"/>
        <v>74603.67</v>
      </c>
      <c r="H88" s="246">
        <f t="shared" si="17"/>
        <v>57521.58</v>
      </c>
      <c r="I88" s="246">
        <f t="shared" si="17"/>
        <v>55546.100000000006</v>
      </c>
      <c r="J88" s="246">
        <f t="shared" si="17"/>
        <v>76011.45</v>
      </c>
      <c r="K88" s="268">
        <f t="shared" si="17"/>
        <v>59912.77</v>
      </c>
      <c r="L88" s="246">
        <f t="shared" si="17"/>
        <v>65320.130000000005</v>
      </c>
      <c r="M88" s="268">
        <f t="shared" si="17"/>
        <v>58657.86</v>
      </c>
      <c r="N88" s="249">
        <f t="shared" si="17"/>
        <v>51884.03</v>
      </c>
      <c r="O88" s="7">
        <f>SUM(C88:N88)</f>
        <v>735791.3</v>
      </c>
    </row>
    <row r="89" spans="2:16" ht="18.75" customHeight="1" x14ac:dyDescent="0.3">
      <c r="B89" s="11" t="s">
        <v>48</v>
      </c>
      <c r="C89" s="270">
        <f>C88/C84</f>
        <v>1.0234424</v>
      </c>
      <c r="D89" s="270">
        <f t="shared" ref="D89:O89" si="18">D88/D84</f>
        <v>1.2101740000000001</v>
      </c>
      <c r="E89" s="270">
        <f t="shared" si="18"/>
        <v>0.87894369230769231</v>
      </c>
      <c r="F89" s="270">
        <f t="shared" si="18"/>
        <v>1.0387930769230769</v>
      </c>
      <c r="G89" s="270">
        <f t="shared" si="18"/>
        <v>1.1477487692307693</v>
      </c>
      <c r="H89" s="270">
        <f t="shared" si="18"/>
        <v>1.1504316000000001</v>
      </c>
      <c r="I89" s="270">
        <f t="shared" si="18"/>
        <v>1.1109220000000002</v>
      </c>
      <c r="J89" s="270">
        <f t="shared" si="18"/>
        <v>1.1694069230769231</v>
      </c>
      <c r="K89" s="270">
        <f t="shared" si="18"/>
        <v>0.92173492307692306</v>
      </c>
      <c r="L89" s="270">
        <f t="shared" si="18"/>
        <v>1.0049250769230771</v>
      </c>
      <c r="M89" s="270">
        <f t="shared" si="18"/>
        <v>0.90242861538461538</v>
      </c>
      <c r="N89" s="270">
        <f t="shared" si="18"/>
        <v>1.0376806000000001</v>
      </c>
      <c r="O89" s="270">
        <f t="shared" si="18"/>
        <v>1.0436756028368794</v>
      </c>
    </row>
    <row r="90" spans="2:16" ht="15.75" customHeight="1" x14ac:dyDescent="0.25">
      <c r="B90" s="14" t="s">
        <v>63</v>
      </c>
      <c r="C90" s="16">
        <f t="shared" ref="C90" si="19">(C88/C84)-1</f>
        <v>2.3442399999999974E-2</v>
      </c>
      <c r="D90" s="16">
        <f t="shared" ref="D90:N90" si="20">(D88/D84)-1</f>
        <v>0.21017400000000008</v>
      </c>
      <c r="E90" s="16">
        <f t="shared" si="20"/>
        <v>-0.12105630769230769</v>
      </c>
      <c r="F90" s="16">
        <f t="shared" si="20"/>
        <v>3.8793076923076875E-2</v>
      </c>
      <c r="G90" s="16">
        <f t="shared" si="20"/>
        <v>0.14774876923076929</v>
      </c>
      <c r="H90" s="16">
        <f t="shared" si="20"/>
        <v>0.15043160000000011</v>
      </c>
      <c r="I90" s="16">
        <f t="shared" si="20"/>
        <v>0.11092200000000019</v>
      </c>
      <c r="J90" s="16">
        <f t="shared" si="20"/>
        <v>0.16940692307692307</v>
      </c>
      <c r="K90" s="16">
        <f t="shared" si="20"/>
        <v>-7.8265076923076937E-2</v>
      </c>
      <c r="L90" s="16">
        <f t="shared" si="20"/>
        <v>4.9250769230770874E-3</v>
      </c>
      <c r="M90" s="16">
        <f t="shared" si="20"/>
        <v>-9.7571384615384615E-2</v>
      </c>
      <c r="N90" s="16">
        <f t="shared" si="20"/>
        <v>3.7680600000000064E-2</v>
      </c>
    </row>
    <row r="91" spans="2:16" ht="15.75" customHeight="1" x14ac:dyDescent="0.25">
      <c r="B91" s="14" t="s">
        <v>17</v>
      </c>
      <c r="C91" s="16">
        <f>(C88/C45)-1</f>
        <v>0.46016194371261809</v>
      </c>
      <c r="D91" s="16">
        <f t="shared" ref="D91:N91" si="21">(D88/D45)-1</f>
        <v>0.13696910707205845</v>
      </c>
      <c r="E91" s="16">
        <f t="shared" si="21"/>
        <v>-7.6521186738618518E-2</v>
      </c>
      <c r="F91" s="16">
        <f t="shared" si="21"/>
        <v>0.13453433492223854</v>
      </c>
      <c r="G91" s="16">
        <f t="shared" si="21"/>
        <v>0.43131027131396249</v>
      </c>
      <c r="H91" s="16">
        <f t="shared" si="21"/>
        <v>0.17969608483734301</v>
      </c>
      <c r="I91" s="16">
        <f t="shared" si="21"/>
        <v>-1.0261043936982128E-2</v>
      </c>
      <c r="J91" s="16">
        <f t="shared" si="21"/>
        <v>0.17295266876747895</v>
      </c>
      <c r="K91" s="16">
        <f t="shared" si="21"/>
        <v>0.25815991647094783</v>
      </c>
      <c r="L91" s="16">
        <f t="shared" si="21"/>
        <v>0.16276092867600922</v>
      </c>
      <c r="M91" s="16">
        <f t="shared" si="21"/>
        <v>-0.15072502293386714</v>
      </c>
      <c r="N91" s="16">
        <f t="shared" si="21"/>
        <v>0.38695534553837629</v>
      </c>
    </row>
    <row r="92" spans="2:16" ht="15.75" hidden="1" customHeight="1" x14ac:dyDescent="0.25">
      <c r="B92" s="14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spans="2:16" ht="18.75" hidden="1" customHeight="1" x14ac:dyDescent="0.3">
      <c r="B93" s="5" t="s">
        <v>34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 t="s">
        <v>35</v>
      </c>
      <c r="N93" s="18"/>
      <c r="P93" s="9"/>
    </row>
    <row r="94" spans="2:16" ht="15.75" hidden="1" customHeight="1" x14ac:dyDescent="0.25">
      <c r="B94" s="14" t="s">
        <v>34</v>
      </c>
      <c r="C94" s="18">
        <f>C96+C95</f>
        <v>61792.92</v>
      </c>
      <c r="D94" s="18">
        <f>D95+D96</f>
        <v>66623.69</v>
      </c>
      <c r="E94" s="186">
        <f>E95+E96</f>
        <v>88522.079999999987</v>
      </c>
      <c r="F94" s="186">
        <f>F95+F96</f>
        <v>96584.5</v>
      </c>
      <c r="G94" s="186">
        <f>G95+G96</f>
        <v>113645.23000000001</v>
      </c>
      <c r="H94" s="18">
        <f>H95+H95</f>
        <v>93268.4</v>
      </c>
      <c r="I94" s="18">
        <f t="shared" ref="I94:M94" si="22">I95+I95</f>
        <v>87072.62</v>
      </c>
      <c r="J94" s="18">
        <f t="shared" si="22"/>
        <v>135916.48000000001</v>
      </c>
      <c r="K94" s="18">
        <f t="shared" si="22"/>
        <v>101957.96</v>
      </c>
      <c r="L94" s="18">
        <f t="shared" si="22"/>
        <v>108468.26</v>
      </c>
      <c r="M94" s="18">
        <f t="shared" si="22"/>
        <v>84510.1</v>
      </c>
      <c r="N94" s="18">
        <f>N95+N95</f>
        <v>0</v>
      </c>
      <c r="P94" s="9"/>
    </row>
    <row r="95" spans="2:16" ht="15.75" hidden="1" customHeight="1" x14ac:dyDescent="0.25">
      <c r="B95" s="14" t="s">
        <v>36</v>
      </c>
      <c r="C95" s="18">
        <v>42830.63</v>
      </c>
      <c r="D95" s="18">
        <v>45615.01</v>
      </c>
      <c r="E95" s="18">
        <v>53917.31</v>
      </c>
      <c r="F95" s="18">
        <v>54251.82</v>
      </c>
      <c r="G95" s="18">
        <v>66461.02</v>
      </c>
      <c r="H95" s="18">
        <v>46634.2</v>
      </c>
      <c r="I95" s="18">
        <v>43536.31</v>
      </c>
      <c r="J95" s="18">
        <v>67958.240000000005</v>
      </c>
      <c r="K95" s="18">
        <v>50978.98</v>
      </c>
      <c r="L95" s="18">
        <v>54234.13</v>
      </c>
      <c r="M95" s="93">
        <v>42255.05</v>
      </c>
      <c r="N95" s="18"/>
      <c r="P95" s="9"/>
    </row>
    <row r="96" spans="2:16" s="83" customFormat="1" ht="15.75" hidden="1" customHeight="1" x14ac:dyDescent="0.25">
      <c r="B96" s="82" t="s">
        <v>37</v>
      </c>
      <c r="C96" s="84">
        <v>18962.29</v>
      </c>
      <c r="D96" s="84">
        <v>21008.68</v>
      </c>
      <c r="E96" s="84">
        <v>34604.769999999997</v>
      </c>
      <c r="F96" s="84">
        <v>42332.68</v>
      </c>
      <c r="G96" s="84">
        <v>47184.21</v>
      </c>
      <c r="H96" s="84">
        <v>29172.32</v>
      </c>
      <c r="I96" s="84">
        <v>30461.22</v>
      </c>
      <c r="J96" s="84">
        <v>49551.15</v>
      </c>
      <c r="K96" s="84">
        <v>46271.81</v>
      </c>
      <c r="L96" s="84">
        <v>40666.15</v>
      </c>
      <c r="M96" s="84">
        <v>32771.67</v>
      </c>
      <c r="N96" s="84"/>
      <c r="P96" s="77"/>
    </row>
    <row r="97" spans="2:16" ht="15.75" hidden="1" customHeight="1" x14ac:dyDescent="0.25">
      <c r="B97" s="14" t="s">
        <v>38</v>
      </c>
      <c r="C97" s="85">
        <f t="shared" ref="C97:M97" si="23">C95/C94</f>
        <v>0.69313167269001041</v>
      </c>
      <c r="D97" s="85">
        <f t="shared" si="23"/>
        <v>0.68466652027229358</v>
      </c>
      <c r="E97" s="85">
        <f t="shared" si="23"/>
        <v>0.6090831801512121</v>
      </c>
      <c r="F97" s="85">
        <f t="shared" si="23"/>
        <v>0.56170317183398988</v>
      </c>
      <c r="G97" s="85">
        <f t="shared" si="23"/>
        <v>0.58481134667948664</v>
      </c>
      <c r="H97" s="85">
        <f t="shared" si="23"/>
        <v>0.5</v>
      </c>
      <c r="I97" s="85">
        <f t="shared" si="23"/>
        <v>0.5</v>
      </c>
      <c r="J97" s="85">
        <f t="shared" si="23"/>
        <v>0.5</v>
      </c>
      <c r="K97" s="85">
        <f t="shared" si="23"/>
        <v>0.5</v>
      </c>
      <c r="L97" s="85">
        <f t="shared" si="23"/>
        <v>0.5</v>
      </c>
      <c r="M97" s="85">
        <f t="shared" si="23"/>
        <v>0.5</v>
      </c>
      <c r="N97" s="85" t="e">
        <f>N95/N94</f>
        <v>#DIV/0!</v>
      </c>
      <c r="P97" s="9"/>
    </row>
    <row r="98" spans="2:16" ht="15.75" hidden="1" customHeight="1" x14ac:dyDescent="0.25">
      <c r="B98" s="14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P98" s="9"/>
    </row>
    <row r="99" spans="2:16" s="122" customFormat="1" ht="15.75" hidden="1" customHeight="1" x14ac:dyDescent="0.25">
      <c r="B99" s="126" t="s">
        <v>42</v>
      </c>
      <c r="C99" s="117" t="s">
        <v>64</v>
      </c>
      <c r="D99" s="209" t="s">
        <v>64</v>
      </c>
      <c r="E99" s="209" t="s">
        <v>64</v>
      </c>
      <c r="F99" s="121">
        <v>45461</v>
      </c>
      <c r="G99" s="121">
        <v>45572</v>
      </c>
      <c r="H99" s="121">
        <v>45572</v>
      </c>
      <c r="I99" s="121">
        <v>45572</v>
      </c>
      <c r="J99" s="121">
        <v>45572</v>
      </c>
      <c r="K99" s="121"/>
      <c r="L99" s="121"/>
      <c r="M99" s="121"/>
      <c r="N99" s="121"/>
    </row>
    <row r="100" spans="2:16" s="123" customFormat="1" ht="15.75" hidden="1" customHeight="1" x14ac:dyDescent="0.25">
      <c r="B100" s="82" t="s">
        <v>37</v>
      </c>
      <c r="C100" s="206">
        <v>21504.68</v>
      </c>
      <c r="D100" s="206">
        <v>29120.02</v>
      </c>
      <c r="E100" s="206">
        <v>31937.439999999999</v>
      </c>
      <c r="F100" s="130">
        <v>38207.339999999997</v>
      </c>
      <c r="G100" s="130">
        <v>46540.56</v>
      </c>
      <c r="H100" s="130">
        <v>25886.19</v>
      </c>
      <c r="I100" s="130">
        <v>28317.67</v>
      </c>
      <c r="J100" s="130">
        <v>46565.9</v>
      </c>
      <c r="K100" s="125"/>
      <c r="L100" s="125"/>
      <c r="M100" s="125"/>
      <c r="N100" s="125"/>
    </row>
    <row r="101" spans="2:16" s="135" customFormat="1" ht="23.25" hidden="1" customHeight="1" x14ac:dyDescent="0.25">
      <c r="B101" s="132" t="s">
        <v>43</v>
      </c>
      <c r="C101" s="133">
        <f t="shared" ref="C101:M101" si="24">C88+C96</f>
        <v>70134.41</v>
      </c>
      <c r="D101" s="133">
        <f t="shared" si="24"/>
        <v>81517.38</v>
      </c>
      <c r="E101" s="187">
        <f t="shared" si="24"/>
        <v>91736.11</v>
      </c>
      <c r="F101" s="138">
        <f t="shared" si="24"/>
        <v>109854.23000000001</v>
      </c>
      <c r="G101" s="138">
        <f t="shared" si="24"/>
        <v>121787.88</v>
      </c>
      <c r="H101" s="133">
        <f t="shared" si="24"/>
        <v>86693.9</v>
      </c>
      <c r="I101" s="137">
        <f t="shared" si="24"/>
        <v>86007.32</v>
      </c>
      <c r="J101" s="137">
        <f t="shared" si="24"/>
        <v>125562.6</v>
      </c>
      <c r="K101" s="137">
        <f t="shared" si="24"/>
        <v>106184.57999999999</v>
      </c>
      <c r="L101" s="137">
        <f t="shared" si="24"/>
        <v>105986.28</v>
      </c>
      <c r="M101" s="137">
        <f t="shared" si="24"/>
        <v>91429.53</v>
      </c>
      <c r="N101" s="137">
        <f>N88+N96</f>
        <v>51884.03</v>
      </c>
      <c r="P101" s="136"/>
    </row>
    <row r="102" spans="2:16" ht="15.75" hidden="1" customHeight="1" x14ac:dyDescent="0.25">
      <c r="B102" s="14"/>
      <c r="C102" s="125"/>
      <c r="D102" s="125"/>
      <c r="E102" s="125"/>
      <c r="F102" s="125"/>
      <c r="G102" s="125"/>
      <c r="H102" s="125"/>
      <c r="I102" s="125"/>
      <c r="J102" s="85"/>
      <c r="K102" s="85"/>
      <c r="L102" s="85"/>
      <c r="M102" s="85"/>
      <c r="N102" s="85"/>
      <c r="P102" s="9"/>
    </row>
    <row r="103" spans="2:16" ht="15.75" hidden="1" customHeight="1" x14ac:dyDescent="0.25">
      <c r="B103" s="14" t="s">
        <v>44</v>
      </c>
      <c r="C103" s="107">
        <v>0.127</v>
      </c>
      <c r="D103" s="107">
        <v>0.13020000000000001</v>
      </c>
      <c r="E103" s="107">
        <f>6477.22/E87</f>
        <v>0.14077237660341288</v>
      </c>
      <c r="F103" s="98">
        <f>6347.46/F87</f>
        <v>0.13115207310428531</v>
      </c>
      <c r="G103" s="98">
        <f>7882.38/G87</f>
        <v>0.13784397031653445</v>
      </c>
      <c r="H103" s="98">
        <f>5442.73/H87</f>
        <v>0.12934348804149082</v>
      </c>
      <c r="I103" s="245">
        <f>4695.74/I87</f>
        <v>0.12229088299114643</v>
      </c>
      <c r="J103" s="245">
        <f t="shared" ref="J103" si="25">4695.74/J87</f>
        <v>7.8847089632410494E-2</v>
      </c>
      <c r="K103" s="245">
        <f>6950.59/K87</f>
        <v>0.14546113964046734</v>
      </c>
      <c r="L103" s="245">
        <f>6974.16/L87</f>
        <v>0.15408088464347683</v>
      </c>
      <c r="M103" s="97">
        <f>6066.19/M87</f>
        <v>0.14782821661297318</v>
      </c>
    </row>
    <row r="104" spans="2:16" ht="15.75" hidden="1" customHeight="1" x14ac:dyDescent="0.25">
      <c r="B104" s="14" t="s">
        <v>45</v>
      </c>
      <c r="C104" s="188">
        <f t="shared" ref="C104:M104" si="26">C96/C113</f>
        <v>156.74646018183341</v>
      </c>
      <c r="D104" s="188">
        <f t="shared" si="26"/>
        <v>149.99082379889174</v>
      </c>
      <c r="E104" s="188">
        <f t="shared" si="26"/>
        <v>272.56749972957044</v>
      </c>
      <c r="F104" s="188">
        <f t="shared" si="26"/>
        <v>341.06115632712812</v>
      </c>
      <c r="G104" s="188">
        <f t="shared" si="26"/>
        <v>378.84653382333602</v>
      </c>
      <c r="H104" s="188">
        <f t="shared" si="26"/>
        <v>229.74092436264789</v>
      </c>
      <c r="I104" s="188">
        <f t="shared" si="26"/>
        <v>241.84232592387224</v>
      </c>
      <c r="J104" s="188">
        <f t="shared" si="26"/>
        <v>383.311674754264</v>
      </c>
      <c r="K104" s="188">
        <f t="shared" si="26"/>
        <v>402.37854150292168</v>
      </c>
      <c r="L104" s="188">
        <f t="shared" si="26"/>
        <v>328.71531639633906</v>
      </c>
      <c r="M104" s="188">
        <f t="shared" si="26"/>
        <v>253.64611289944776</v>
      </c>
      <c r="N104" s="188" t="e">
        <f>N96/N113</f>
        <v>#DIV/0!</v>
      </c>
    </row>
    <row r="105" spans="2:16" ht="15.75" hidden="1" customHeight="1" x14ac:dyDescent="0.25">
      <c r="B105" s="14"/>
    </row>
    <row r="106" spans="2:16" ht="15.75" hidden="1" customHeight="1" x14ac:dyDescent="0.25">
      <c r="B106" s="3" t="s">
        <v>65</v>
      </c>
      <c r="C106" s="19" t="s">
        <v>0</v>
      </c>
      <c r="D106" s="19" t="s">
        <v>1</v>
      </c>
      <c r="E106" s="19" t="s">
        <v>2</v>
      </c>
      <c r="F106" s="19" t="s">
        <v>3</v>
      </c>
      <c r="G106" s="19" t="s">
        <v>4</v>
      </c>
      <c r="H106" s="19" t="s">
        <v>5</v>
      </c>
      <c r="I106" s="19" t="s">
        <v>6</v>
      </c>
      <c r="J106" s="19" t="s">
        <v>7</v>
      </c>
      <c r="K106" s="19" t="s">
        <v>8</v>
      </c>
      <c r="L106" s="19" t="s">
        <v>9</v>
      </c>
      <c r="M106" s="19" t="s">
        <v>10</v>
      </c>
      <c r="N106" s="19" t="s">
        <v>11</v>
      </c>
    </row>
    <row r="107" spans="2:16" ht="15.75" hidden="1" customHeight="1" x14ac:dyDescent="0.25">
      <c r="B107" s="23" t="s">
        <v>39</v>
      </c>
      <c r="C107" s="114">
        <v>135</v>
      </c>
      <c r="D107" s="114">
        <v>124</v>
      </c>
      <c r="E107" s="11">
        <v>116</v>
      </c>
      <c r="F107" s="17">
        <v>169</v>
      </c>
      <c r="G107" s="17">
        <v>188</v>
      </c>
      <c r="H107" s="17">
        <v>137</v>
      </c>
      <c r="I107" s="17">
        <v>120</v>
      </c>
      <c r="J107" s="17">
        <v>175</v>
      </c>
      <c r="K107" s="17">
        <v>128</v>
      </c>
      <c r="L107" s="17">
        <v>125</v>
      </c>
      <c r="M107" s="17">
        <v>99</v>
      </c>
      <c r="N107" s="17"/>
    </row>
    <row r="108" spans="2:16" ht="15.75" hidden="1" customHeight="1" x14ac:dyDescent="0.25">
      <c r="B108" s="23" t="s">
        <v>22</v>
      </c>
      <c r="C108">
        <v>423</v>
      </c>
      <c r="D108">
        <v>432</v>
      </c>
      <c r="E108">
        <f>406+44</f>
        <v>450</v>
      </c>
      <c r="F108">
        <f>74+470</f>
        <v>544</v>
      </c>
      <c r="G108">
        <f>527+72</f>
        <v>599</v>
      </c>
      <c r="H108">
        <f>395+58</f>
        <v>453</v>
      </c>
      <c r="I108">
        <f>56+385</f>
        <v>441</v>
      </c>
      <c r="J108">
        <f>59+529</f>
        <v>588</v>
      </c>
      <c r="K108">
        <f>58+463</f>
        <v>521</v>
      </c>
      <c r="L108">
        <f>61+467</f>
        <v>528</v>
      </c>
      <c r="M108">
        <f>389+65</f>
        <v>454</v>
      </c>
    </row>
    <row r="109" spans="2:16" ht="15.75" hidden="1" customHeight="1" x14ac:dyDescent="0.25">
      <c r="B109" s="23" t="s">
        <v>214</v>
      </c>
      <c r="C109" s="260">
        <f t="shared" ref="C109:I109" si="27">C108/22</f>
        <v>19.227272727272727</v>
      </c>
      <c r="D109" s="260">
        <f t="shared" si="27"/>
        <v>19.636363636363637</v>
      </c>
      <c r="E109" s="260">
        <f t="shared" si="27"/>
        <v>20.454545454545453</v>
      </c>
      <c r="F109" s="260">
        <f t="shared" si="27"/>
        <v>24.727272727272727</v>
      </c>
      <c r="G109" s="260">
        <f t="shared" si="27"/>
        <v>27.227272727272727</v>
      </c>
      <c r="H109" s="260">
        <f t="shared" si="27"/>
        <v>20.59090909090909</v>
      </c>
      <c r="I109" s="260">
        <f t="shared" si="27"/>
        <v>20.045454545454547</v>
      </c>
      <c r="J109" s="260">
        <f>J108/22</f>
        <v>26.727272727272727</v>
      </c>
      <c r="K109" s="260">
        <f>K108/22</f>
        <v>23.681818181818183</v>
      </c>
      <c r="L109" s="260">
        <f>L108/22</f>
        <v>24</v>
      </c>
      <c r="M109" s="260">
        <f>M108/22</f>
        <v>20.636363636363637</v>
      </c>
    </row>
    <row r="110" spans="2:16" ht="15.75" hidden="1" customHeight="1" x14ac:dyDescent="0.25">
      <c r="B110" s="23" t="s">
        <v>23</v>
      </c>
      <c r="C110" s="81">
        <f>3883+1234</f>
        <v>5117</v>
      </c>
      <c r="D110">
        <v>6755</v>
      </c>
      <c r="E110">
        <f>4774+898</f>
        <v>5672</v>
      </c>
      <c r="F110">
        <f>5066+1480</f>
        <v>6546</v>
      </c>
      <c r="G110">
        <f>6157+1397</f>
        <v>7554</v>
      </c>
      <c r="H110">
        <f>4484+1128</f>
        <v>5612</v>
      </c>
      <c r="I110">
        <f>1314+3983</f>
        <v>5297</v>
      </c>
      <c r="J110">
        <f>1200+6148</f>
        <v>7348</v>
      </c>
      <c r="K110">
        <f>1187+5038</f>
        <v>6225</v>
      </c>
      <c r="L110">
        <f>1441+5446</f>
        <v>6887</v>
      </c>
      <c r="M110">
        <f>4758+1468</f>
        <v>6226</v>
      </c>
    </row>
    <row r="111" spans="2:16" ht="15.75" hidden="1" customHeight="1" x14ac:dyDescent="0.25">
      <c r="B111" s="23"/>
    </row>
    <row r="112" spans="2:16" ht="15.75" hidden="1" customHeight="1" x14ac:dyDescent="0.25">
      <c r="B112" s="23" t="s">
        <v>49</v>
      </c>
      <c r="C112" s="102">
        <f t="shared" ref="C112:K112" si="28">C110/C108</f>
        <v>12.09692671394799</v>
      </c>
      <c r="D112" s="102">
        <f t="shared" si="28"/>
        <v>15.636574074074074</v>
      </c>
      <c r="E112" s="102">
        <f t="shared" si="28"/>
        <v>12.604444444444445</v>
      </c>
      <c r="F112" s="102">
        <f t="shared" si="28"/>
        <v>12.033088235294118</v>
      </c>
      <c r="G112" s="102">
        <f t="shared" si="28"/>
        <v>12.6110183639399</v>
      </c>
      <c r="H112" s="102">
        <f t="shared" si="28"/>
        <v>12.388520971302428</v>
      </c>
      <c r="I112" s="102">
        <f t="shared" si="28"/>
        <v>12.011337868480725</v>
      </c>
      <c r="J112" s="102">
        <f t="shared" si="28"/>
        <v>12.496598639455783</v>
      </c>
      <c r="K112" s="102">
        <f t="shared" si="28"/>
        <v>11.948176583493282</v>
      </c>
      <c r="L112" s="102">
        <f>L110/L108</f>
        <v>13.043560606060606</v>
      </c>
      <c r="M112" s="102">
        <f>M110/M108</f>
        <v>13.713656387665198</v>
      </c>
    </row>
    <row r="113" spans="2:14" ht="15.75" hidden="1" customHeight="1" x14ac:dyDescent="0.25">
      <c r="B113" s="23" t="s">
        <v>50</v>
      </c>
      <c r="C113" s="112">
        <f t="shared" ref="C113:N113" si="29">C88/C108</f>
        <v>120.97427895981086</v>
      </c>
      <c r="D113" s="112">
        <f t="shared" si="29"/>
        <v>140.06643518518518</v>
      </c>
      <c r="E113" s="112">
        <f t="shared" si="29"/>
        <v>126.95853333333334</v>
      </c>
      <c r="F113" s="112">
        <f t="shared" si="29"/>
        <v>124.12049632352942</v>
      </c>
      <c r="G113" s="112">
        <f t="shared" si="29"/>
        <v>124.54702838063439</v>
      </c>
      <c r="H113" s="112">
        <f t="shared" si="29"/>
        <v>126.97920529801326</v>
      </c>
      <c r="I113" s="112">
        <f t="shared" si="29"/>
        <v>125.95487528344673</v>
      </c>
      <c r="J113" s="144">
        <f t="shared" si="29"/>
        <v>129.27117346938775</v>
      </c>
      <c r="K113" s="101">
        <f t="shared" si="29"/>
        <v>114.9957197696737</v>
      </c>
      <c r="L113" s="101">
        <f>L88/L108</f>
        <v>123.71236742424243</v>
      </c>
      <c r="M113" s="118">
        <f t="shared" si="29"/>
        <v>129.20233480176211</v>
      </c>
      <c r="N113" s="11" t="e">
        <f t="shared" si="29"/>
        <v>#DIV/0!</v>
      </c>
    </row>
    <row r="114" spans="2:14" ht="15.75" hidden="1" customHeight="1" x14ac:dyDescent="0.25">
      <c r="B114" s="23"/>
      <c r="C114" s="10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</row>
    <row r="115" spans="2:14" ht="15.75" hidden="1" customHeight="1" x14ac:dyDescent="0.25">
      <c r="B115" s="201" t="s">
        <v>24</v>
      </c>
      <c r="C115" s="202"/>
      <c r="D115" s="203">
        <v>0.83</v>
      </c>
      <c r="E115" s="203">
        <v>1</v>
      </c>
      <c r="F115" s="203">
        <v>1</v>
      </c>
      <c r="G115" s="24">
        <v>0.75</v>
      </c>
      <c r="H115" s="255">
        <v>0</v>
      </c>
      <c r="I115" s="24">
        <v>0.95</v>
      </c>
      <c r="J115" s="253">
        <v>0.92</v>
      </c>
      <c r="K115" s="24">
        <v>0.84</v>
      </c>
      <c r="L115" s="24">
        <v>0.92</v>
      </c>
      <c r="M115" s="24">
        <v>0.77</v>
      </c>
    </row>
    <row r="116" spans="2:14" ht="15.75" hidden="1" customHeight="1" x14ac:dyDescent="0.25">
      <c r="B116" s="201" t="s">
        <v>51</v>
      </c>
      <c r="C116" s="204"/>
      <c r="D116" s="204">
        <v>6</v>
      </c>
      <c r="E116" s="204">
        <v>4</v>
      </c>
      <c r="F116" s="204">
        <v>3</v>
      </c>
      <c r="G116" s="204">
        <v>8</v>
      </c>
      <c r="H116" s="256">
        <v>0</v>
      </c>
      <c r="I116" s="254">
        <v>141</v>
      </c>
      <c r="J116" s="254">
        <v>205</v>
      </c>
      <c r="K116">
        <v>31</v>
      </c>
      <c r="L116">
        <v>169</v>
      </c>
      <c r="M116">
        <v>142</v>
      </c>
    </row>
    <row r="117" spans="2:14" ht="15.75" hidden="1" customHeight="1" x14ac:dyDescent="0.25">
      <c r="D117" s="17" t="s">
        <v>52</v>
      </c>
    </row>
    <row r="118" spans="2:14" ht="15.75" hidden="1" customHeight="1" x14ac:dyDescent="0.25">
      <c r="B118" s="217" t="s">
        <v>66</v>
      </c>
      <c r="C118" s="218" t="s">
        <v>67</v>
      </c>
      <c r="D118" s="219" t="s">
        <v>68</v>
      </c>
      <c r="E118" s="240"/>
      <c r="F118" s="220"/>
      <c r="G118" s="221"/>
      <c r="H118" s="221"/>
      <c r="I118" s="222"/>
      <c r="J118" s="222"/>
      <c r="K118" s="222"/>
      <c r="L118" s="222"/>
      <c r="M118" s="222"/>
      <c r="N118" s="222"/>
    </row>
    <row r="119" spans="2:14" ht="15.75" hidden="1" customHeight="1" x14ac:dyDescent="0.25">
      <c r="C119" s="191" t="s">
        <v>70</v>
      </c>
      <c r="D119" s="190" t="s">
        <v>71</v>
      </c>
      <c r="E119" s="234" t="s">
        <v>68</v>
      </c>
      <c r="F119" s="232" t="s">
        <v>69</v>
      </c>
      <c r="G119" s="233" t="s">
        <v>69</v>
      </c>
      <c r="H119" s="212" t="s">
        <v>67</v>
      </c>
      <c r="I119" s="212" t="s">
        <v>67</v>
      </c>
      <c r="J119" s="212" t="s">
        <v>67</v>
      </c>
      <c r="K119" s="212" t="s">
        <v>227</v>
      </c>
      <c r="L119" s="212" t="s">
        <v>70</v>
      </c>
    </row>
    <row r="120" spans="2:14" ht="15.75" hidden="1" customHeight="1" x14ac:dyDescent="0.25">
      <c r="B120" s="183"/>
      <c r="C120" s="191" t="s">
        <v>73</v>
      </c>
      <c r="D120" s="190" t="s">
        <v>72</v>
      </c>
      <c r="E120" s="235" t="s">
        <v>72</v>
      </c>
      <c r="F120" s="195" t="s">
        <v>67</v>
      </c>
      <c r="G120" s="212" t="s">
        <v>67</v>
      </c>
      <c r="H120" s="233" t="s">
        <v>69</v>
      </c>
      <c r="I120" s="212" t="s">
        <v>69</v>
      </c>
      <c r="J120" s="212" t="s">
        <v>69</v>
      </c>
      <c r="K120" s="212" t="s">
        <v>157</v>
      </c>
      <c r="L120" s="212" t="s">
        <v>103</v>
      </c>
      <c r="M120" s="80"/>
    </row>
    <row r="121" spans="2:14" hidden="1" x14ac:dyDescent="0.25">
      <c r="C121" s="189" t="s">
        <v>71</v>
      </c>
      <c r="D121" s="190" t="s">
        <v>75</v>
      </c>
      <c r="E121" s="194" t="s">
        <v>74</v>
      </c>
      <c r="F121" s="195" t="s">
        <v>71</v>
      </c>
      <c r="G121" s="212" t="s">
        <v>155</v>
      </c>
      <c r="H121" s="195" t="s">
        <v>78</v>
      </c>
      <c r="I121" s="212" t="s">
        <v>78</v>
      </c>
      <c r="J121" s="194" t="s">
        <v>201</v>
      </c>
      <c r="K121" s="212" t="s">
        <v>102</v>
      </c>
      <c r="L121" s="194" t="s">
        <v>192</v>
      </c>
    </row>
    <row r="122" spans="2:14" ht="15.75" hidden="1" customHeight="1" x14ac:dyDescent="0.25">
      <c r="B122" s="156"/>
      <c r="C122" s="156"/>
      <c r="E122" s="194" t="s">
        <v>76</v>
      </c>
      <c r="F122" s="195" t="s">
        <v>72</v>
      </c>
      <c r="G122" s="212" t="s">
        <v>102</v>
      </c>
      <c r="H122" s="194" t="s">
        <v>175</v>
      </c>
      <c r="I122" s="212" t="s">
        <v>188</v>
      </c>
      <c r="J122" s="194" t="s">
        <v>202</v>
      </c>
      <c r="K122" s="212" t="s">
        <v>67</v>
      </c>
      <c r="L122" s="194" t="s">
        <v>245</v>
      </c>
    </row>
    <row r="123" spans="2:14" ht="15.75" hidden="1" customHeight="1" x14ac:dyDescent="0.25">
      <c r="B123" s="36"/>
      <c r="C123" s="195" t="s">
        <v>79</v>
      </c>
      <c r="D123" s="195"/>
      <c r="E123" s="195" t="s">
        <v>77</v>
      </c>
      <c r="F123" s="195" t="s">
        <v>78</v>
      </c>
      <c r="G123" s="212" t="s">
        <v>99</v>
      </c>
      <c r="H123" s="212" t="s">
        <v>155</v>
      </c>
      <c r="I123" s="212" t="s">
        <v>104</v>
      </c>
      <c r="J123" s="212" t="s">
        <v>74</v>
      </c>
      <c r="K123" s="212" t="s">
        <v>72</v>
      </c>
      <c r="L123" s="212" t="s">
        <v>167</v>
      </c>
    </row>
    <row r="124" spans="2:14" ht="15.75" hidden="1" customHeight="1" x14ac:dyDescent="0.25">
      <c r="B124" s="36"/>
      <c r="C124" s="195" t="s">
        <v>82</v>
      </c>
      <c r="D124" s="195"/>
      <c r="E124" s="195" t="s">
        <v>80</v>
      </c>
      <c r="F124" s="195" t="s">
        <v>81</v>
      </c>
      <c r="G124" s="194" t="s">
        <v>156</v>
      </c>
      <c r="H124" s="194" t="s">
        <v>176</v>
      </c>
      <c r="I124" s="212" t="s">
        <v>189</v>
      </c>
      <c r="J124" s="194" t="s">
        <v>203</v>
      </c>
      <c r="K124" s="212" t="s">
        <v>74</v>
      </c>
      <c r="L124" s="212" t="s">
        <v>157</v>
      </c>
    </row>
    <row r="125" spans="2:14" ht="15.75" hidden="1" customHeight="1" x14ac:dyDescent="0.25">
      <c r="B125" s="36"/>
      <c r="C125" s="195" t="s">
        <v>85</v>
      </c>
      <c r="D125" s="195"/>
      <c r="E125" s="195" t="s">
        <v>83</v>
      </c>
      <c r="F125" s="195" t="s">
        <v>84</v>
      </c>
      <c r="G125" s="194" t="s">
        <v>77</v>
      </c>
      <c r="H125" s="194" t="s">
        <v>177</v>
      </c>
      <c r="I125" s="212" t="s">
        <v>92</v>
      </c>
      <c r="J125" s="194" t="s">
        <v>188</v>
      </c>
      <c r="K125" s="212" t="s">
        <v>228</v>
      </c>
      <c r="L125" s="212" t="s">
        <v>67</v>
      </c>
    </row>
    <row r="126" spans="2:14" ht="15.75" hidden="1" customHeight="1" x14ac:dyDescent="0.25">
      <c r="B126" s="36"/>
      <c r="C126" s="195" t="s">
        <v>88</v>
      </c>
      <c r="D126" s="195"/>
      <c r="E126" s="195" t="s">
        <v>86</v>
      </c>
      <c r="F126" s="195" t="s">
        <v>87</v>
      </c>
      <c r="G126" s="194" t="s">
        <v>90</v>
      </c>
      <c r="H126" s="194" t="s">
        <v>178</v>
      </c>
      <c r="I126" s="212" t="s">
        <v>90</v>
      </c>
      <c r="J126" s="194" t="s">
        <v>157</v>
      </c>
      <c r="K126" s="212" t="s">
        <v>190</v>
      </c>
      <c r="L126" s="212" t="s">
        <v>228</v>
      </c>
    </row>
    <row r="127" spans="2:14" ht="15.75" hidden="1" customHeight="1" x14ac:dyDescent="0.25">
      <c r="B127" s="36"/>
      <c r="C127" s="195" t="s">
        <v>91</v>
      </c>
      <c r="D127" s="195"/>
      <c r="E127" s="195" t="s">
        <v>89</v>
      </c>
      <c r="F127" s="195" t="s">
        <v>90</v>
      </c>
      <c r="G127" s="194" t="s">
        <v>157</v>
      </c>
      <c r="H127" s="195" t="s">
        <v>89</v>
      </c>
      <c r="I127" s="212" t="s">
        <v>190</v>
      </c>
      <c r="J127" s="194" t="s">
        <v>92</v>
      </c>
      <c r="K127" s="212" t="s">
        <v>229</v>
      </c>
      <c r="L127" s="212" t="s">
        <v>71</v>
      </c>
    </row>
    <row r="128" spans="2:14" hidden="1" x14ac:dyDescent="0.25">
      <c r="C128" s="195"/>
      <c r="D128" s="195"/>
      <c r="E128" s="195" t="s">
        <v>92</v>
      </c>
      <c r="F128" s="195" t="s">
        <v>93</v>
      </c>
      <c r="G128" s="194" t="s">
        <v>81</v>
      </c>
      <c r="H128" s="194" t="s">
        <v>179</v>
      </c>
      <c r="I128" s="212" t="s">
        <v>191</v>
      </c>
      <c r="J128" s="194" t="s">
        <v>81</v>
      </c>
      <c r="K128" s="212" t="s">
        <v>147</v>
      </c>
      <c r="L128" s="212" t="s">
        <v>246</v>
      </c>
    </row>
    <row r="129" spans="2:13" ht="15.75" hidden="1" customHeight="1" x14ac:dyDescent="0.25">
      <c r="C129" s="195" t="s">
        <v>94</v>
      </c>
      <c r="D129" s="195"/>
      <c r="I129" s="212" t="s">
        <v>192</v>
      </c>
      <c r="J129" s="194" t="s">
        <v>204</v>
      </c>
      <c r="K129" s="212" t="s">
        <v>230</v>
      </c>
      <c r="L129" s="212" t="s">
        <v>247</v>
      </c>
    </row>
    <row r="130" spans="2:13" hidden="1" x14ac:dyDescent="0.25"/>
    <row r="131" spans="2:13" hidden="1" x14ac:dyDescent="0.25">
      <c r="B131" s="222" t="s">
        <v>235</v>
      </c>
      <c r="C131" s="222"/>
      <c r="D131" s="222"/>
      <c r="E131" s="222"/>
      <c r="F131" s="222"/>
      <c r="G131" s="222"/>
      <c r="H131" s="222"/>
      <c r="I131" s="222"/>
      <c r="J131" s="222"/>
      <c r="K131" s="265"/>
      <c r="L131" s="222"/>
      <c r="M131" s="222"/>
    </row>
    <row r="132" spans="2:13" hidden="1" x14ac:dyDescent="0.25">
      <c r="B132" s="263" t="s">
        <v>231</v>
      </c>
      <c r="K132" s="264">
        <v>19019.919999999998</v>
      </c>
    </row>
    <row r="133" spans="2:13" hidden="1" x14ac:dyDescent="0.25">
      <c r="K133" s="264"/>
    </row>
    <row r="134" spans="2:13" hidden="1" x14ac:dyDescent="0.25">
      <c r="B134" s="263" t="s">
        <v>232</v>
      </c>
      <c r="K134" s="264">
        <v>130178.35</v>
      </c>
    </row>
    <row r="135" spans="2:13" hidden="1" x14ac:dyDescent="0.25">
      <c r="B135" s="263" t="s">
        <v>233</v>
      </c>
      <c r="K135" s="264">
        <v>5841.57</v>
      </c>
    </row>
    <row r="136" spans="2:13" hidden="1" x14ac:dyDescent="0.25">
      <c r="B136" s="263" t="s">
        <v>234</v>
      </c>
      <c r="K136" s="264"/>
    </row>
    <row r="137" spans="2:13" hidden="1" x14ac:dyDescent="0.25">
      <c r="K137" s="264"/>
    </row>
    <row r="138" spans="2:13" hidden="1" x14ac:dyDescent="0.25">
      <c r="B138" s="222" t="s">
        <v>236</v>
      </c>
      <c r="K138" s="264"/>
    </row>
    <row r="139" spans="2:13" hidden="1" x14ac:dyDescent="0.25">
      <c r="B139" s="263" t="s">
        <v>231</v>
      </c>
      <c r="K139" s="264">
        <v>16012.56</v>
      </c>
    </row>
    <row r="140" spans="2:13" hidden="1" x14ac:dyDescent="0.25">
      <c r="K140" s="264"/>
    </row>
    <row r="141" spans="2:13" hidden="1" x14ac:dyDescent="0.25">
      <c r="B141" s="263" t="s">
        <v>232</v>
      </c>
      <c r="K141" s="264">
        <v>9393.1200000000008</v>
      </c>
    </row>
    <row r="142" spans="2:13" hidden="1" x14ac:dyDescent="0.25">
      <c r="B142" s="263" t="s">
        <v>233</v>
      </c>
      <c r="K142" s="264">
        <v>6619.44</v>
      </c>
    </row>
    <row r="143" spans="2:13" hidden="1" x14ac:dyDescent="0.25">
      <c r="B143" s="263" t="s">
        <v>234</v>
      </c>
      <c r="K143" s="264"/>
    </row>
    <row r="144" spans="2:13" hidden="1" x14ac:dyDescent="0.25">
      <c r="K144" s="264"/>
    </row>
    <row r="145" spans="2:11" hidden="1" x14ac:dyDescent="0.25">
      <c r="K145" s="264"/>
    </row>
    <row r="146" spans="2:11" hidden="1" x14ac:dyDescent="0.25">
      <c r="B146" s="222" t="s">
        <v>237</v>
      </c>
      <c r="K146" s="264"/>
    </row>
    <row r="147" spans="2:11" hidden="1" x14ac:dyDescent="0.25">
      <c r="B147" s="263" t="s">
        <v>231</v>
      </c>
      <c r="K147" s="264">
        <v>17627.63</v>
      </c>
    </row>
    <row r="148" spans="2:11" hidden="1" x14ac:dyDescent="0.25">
      <c r="K148" s="264"/>
    </row>
    <row r="149" spans="2:11" hidden="1" x14ac:dyDescent="0.25">
      <c r="B149" s="263" t="s">
        <v>232</v>
      </c>
      <c r="K149" s="264">
        <v>10264.530000000001</v>
      </c>
    </row>
    <row r="150" spans="2:11" hidden="1" x14ac:dyDescent="0.25">
      <c r="B150" s="263" t="s">
        <v>233</v>
      </c>
      <c r="K150" s="264">
        <v>7363.1</v>
      </c>
    </row>
    <row r="151" spans="2:11" hidden="1" x14ac:dyDescent="0.25">
      <c r="B151" s="263" t="s">
        <v>234</v>
      </c>
      <c r="K151" s="264"/>
    </row>
    <row r="152" spans="2:11" hidden="1" x14ac:dyDescent="0.25">
      <c r="K152" s="264"/>
    </row>
    <row r="153" spans="2:11" hidden="1" x14ac:dyDescent="0.25">
      <c r="B153" s="222" t="s">
        <v>243</v>
      </c>
      <c r="K153" s="264"/>
    </row>
    <row r="154" spans="2:11" hidden="1" x14ac:dyDescent="0.25">
      <c r="B154" s="263" t="s">
        <v>231</v>
      </c>
      <c r="K154" s="264">
        <v>6670.95</v>
      </c>
    </row>
    <row r="155" spans="2:11" hidden="1" x14ac:dyDescent="0.25">
      <c r="K155" s="264"/>
    </row>
    <row r="156" spans="2:11" hidden="1" x14ac:dyDescent="0.25">
      <c r="B156" s="263" t="s">
        <v>232</v>
      </c>
      <c r="K156" s="264">
        <v>3281.23</v>
      </c>
    </row>
    <row r="157" spans="2:11" hidden="1" x14ac:dyDescent="0.25">
      <c r="B157" s="263" t="s">
        <v>233</v>
      </c>
      <c r="K157" s="264">
        <v>3389.72</v>
      </c>
    </row>
    <row r="158" spans="2:11" hidden="1" x14ac:dyDescent="0.25">
      <c r="B158" s="263" t="s">
        <v>234</v>
      </c>
      <c r="K158" s="264"/>
    </row>
    <row r="159" spans="2:11" hidden="1" x14ac:dyDescent="0.25"/>
    <row r="160" spans="2:11" ht="19.5" thickBot="1" x14ac:dyDescent="0.35">
      <c r="I160" s="6"/>
    </row>
    <row r="161" spans="1:16" ht="19.5" customHeight="1" x14ac:dyDescent="0.25">
      <c r="A161" s="441"/>
      <c r="B161" s="442">
        <v>2025</v>
      </c>
      <c r="C161" s="443" t="s">
        <v>0</v>
      </c>
      <c r="D161" s="443" t="s">
        <v>1</v>
      </c>
      <c r="E161" s="444" t="s">
        <v>2</v>
      </c>
      <c r="F161" s="444" t="s">
        <v>3</v>
      </c>
      <c r="G161" s="444" t="s">
        <v>4</v>
      </c>
      <c r="H161" s="443" t="s">
        <v>5</v>
      </c>
      <c r="I161" s="443" t="s">
        <v>6</v>
      </c>
      <c r="J161" s="444" t="s">
        <v>7</v>
      </c>
      <c r="K161" s="444" t="s">
        <v>8</v>
      </c>
      <c r="L161" s="444" t="s">
        <v>9</v>
      </c>
      <c r="M161" s="444" t="s">
        <v>10</v>
      </c>
      <c r="N161" s="443" t="s">
        <v>11</v>
      </c>
      <c r="O161" s="445"/>
    </row>
    <row r="162" spans="1:16" ht="19.5" customHeight="1" x14ac:dyDescent="0.3">
      <c r="A162" s="446"/>
      <c r="B162" s="447" t="s">
        <v>259</v>
      </c>
      <c r="C162" s="6">
        <v>75000</v>
      </c>
      <c r="D162" s="6">
        <v>75000</v>
      </c>
      <c r="E162" s="6">
        <v>75000</v>
      </c>
      <c r="F162" s="6">
        <v>75000</v>
      </c>
      <c r="G162" s="6">
        <v>100000</v>
      </c>
      <c r="H162" s="6">
        <v>75000</v>
      </c>
      <c r="I162" s="6">
        <v>75000</v>
      </c>
      <c r="J162" s="6">
        <v>100000</v>
      </c>
      <c r="K162" s="6">
        <v>75000</v>
      </c>
      <c r="L162" s="6">
        <v>100000</v>
      </c>
      <c r="M162" s="6">
        <v>100000</v>
      </c>
      <c r="N162" s="6">
        <v>75000</v>
      </c>
      <c r="O162" s="448">
        <f>SUM(C162:N162)</f>
        <v>1000000</v>
      </c>
      <c r="P162" s="97" t="e">
        <f>O162/O123</f>
        <v>#DIV/0!</v>
      </c>
    </row>
    <row r="163" spans="1:16" ht="15.75" customHeight="1" x14ac:dyDescent="0.3">
      <c r="A163" s="446"/>
      <c r="B163" s="154" t="s">
        <v>13</v>
      </c>
      <c r="C163" s="4">
        <v>23622.6</v>
      </c>
      <c r="D163" s="4">
        <v>21425.74</v>
      </c>
      <c r="E163" s="185">
        <v>22504.98</v>
      </c>
      <c r="F163" s="4">
        <v>18663.189999999999</v>
      </c>
      <c r="G163" s="4">
        <v>20604.47</v>
      </c>
      <c r="H163" s="4">
        <v>12414.73</v>
      </c>
      <c r="I163" s="4">
        <v>25090.18</v>
      </c>
      <c r="J163" s="252">
        <v>23662.19</v>
      </c>
      <c r="K163" s="449">
        <v>12334.4</v>
      </c>
      <c r="L163" s="252">
        <v>23795.33</v>
      </c>
      <c r="M163" s="252">
        <v>16752.37</v>
      </c>
      <c r="N163" s="252">
        <v>17602.28</v>
      </c>
      <c r="O163" s="450">
        <f t="shared" ref="O163:O164" si="30">SUM(C163:N163)</f>
        <v>238472.46</v>
      </c>
    </row>
    <row r="164" spans="1:16" s="11" customFormat="1" ht="15.75" customHeight="1" x14ac:dyDescent="0.3">
      <c r="A164" s="451"/>
      <c r="B164" s="155" t="s">
        <v>14</v>
      </c>
      <c r="C164" s="12">
        <v>51412.62</v>
      </c>
      <c r="D164" s="12">
        <v>43885.05</v>
      </c>
      <c r="E164" s="185">
        <v>55599.7</v>
      </c>
      <c r="F164" s="198">
        <v>51792.23</v>
      </c>
      <c r="G164" s="12">
        <v>62037.16</v>
      </c>
      <c r="H164" s="12">
        <v>47516.88</v>
      </c>
      <c r="I164" s="12">
        <v>56203.33</v>
      </c>
      <c r="J164" s="12">
        <v>69031.5</v>
      </c>
      <c r="K164" s="12">
        <v>69286.91</v>
      </c>
      <c r="L164" s="12">
        <v>80048.2</v>
      </c>
      <c r="M164" s="12">
        <v>66020.23</v>
      </c>
      <c r="N164" s="12">
        <v>46175.38</v>
      </c>
      <c r="O164" s="450">
        <f t="shared" si="30"/>
        <v>699009.19</v>
      </c>
    </row>
    <row r="165" spans="1:16" ht="18.75" customHeight="1" x14ac:dyDescent="0.3">
      <c r="A165" s="446"/>
      <c r="B165" s="271" t="s">
        <v>260</v>
      </c>
      <c r="C165" s="249">
        <f>C163+C164</f>
        <v>75035.22</v>
      </c>
      <c r="D165" s="268">
        <f>D163+D164</f>
        <v>65310.790000000008</v>
      </c>
      <c r="E165" s="452">
        <f>E163+E164</f>
        <v>78104.679999999993</v>
      </c>
      <c r="F165" s="268">
        <f>F163+F164</f>
        <v>70455.42</v>
      </c>
      <c r="G165" s="268">
        <f>G163+G164</f>
        <v>82641.63</v>
      </c>
      <c r="H165" s="268">
        <f>H163+H164+H196</f>
        <v>59931.61</v>
      </c>
      <c r="I165" s="246">
        <f t="shared" ref="I165:M165" si="31">I163+I164</f>
        <v>81293.510000000009</v>
      </c>
      <c r="J165" s="249">
        <f t="shared" si="31"/>
        <v>92693.69</v>
      </c>
      <c r="K165" s="246">
        <f t="shared" si="31"/>
        <v>81621.31</v>
      </c>
      <c r="L165" s="246">
        <f t="shared" si="31"/>
        <v>103843.53</v>
      </c>
      <c r="M165" s="246">
        <f t="shared" si="31"/>
        <v>82772.599999999991</v>
      </c>
      <c r="N165" s="7">
        <v>75000</v>
      </c>
      <c r="O165" s="448">
        <f>SUM(C165:N165)</f>
        <v>948703.99000000011</v>
      </c>
    </row>
    <row r="166" spans="1:16" ht="18.75" customHeight="1" x14ac:dyDescent="0.35">
      <c r="A166" s="446"/>
      <c r="B166" s="453" t="s">
        <v>341</v>
      </c>
      <c r="C166" s="285"/>
      <c r="D166" s="454">
        <v>1</v>
      </c>
      <c r="E166" s="285"/>
      <c r="F166" s="254"/>
      <c r="G166" s="455">
        <v>6697.07</v>
      </c>
      <c r="H166" s="455">
        <v>7729.92</v>
      </c>
      <c r="I166" s="246">
        <f>2584.33+7750</f>
        <v>10334.33</v>
      </c>
      <c r="J166" s="249">
        <v>7206</v>
      </c>
      <c r="K166" s="246">
        <v>7050.79</v>
      </c>
      <c r="L166" s="246">
        <v>7317</v>
      </c>
      <c r="M166" s="7">
        <v>12280</v>
      </c>
      <c r="N166" s="7">
        <v>11433</v>
      </c>
      <c r="O166" s="448">
        <f>SUM(C166:N166)</f>
        <v>70049.11</v>
      </c>
      <c r="P166" s="379">
        <f>O165+O166</f>
        <v>1018753.1000000001</v>
      </c>
    </row>
    <row r="167" spans="1:16" ht="18.75" customHeight="1" x14ac:dyDescent="0.35">
      <c r="A167" s="446"/>
      <c r="B167" s="453"/>
      <c r="C167" s="7">
        <f t="shared" ref="C167:L167" si="32">C165+C166</f>
        <v>75035.22</v>
      </c>
      <c r="D167" s="7">
        <f t="shared" si="32"/>
        <v>65311.790000000008</v>
      </c>
      <c r="E167" s="7">
        <f t="shared" si="32"/>
        <v>78104.679999999993</v>
      </c>
      <c r="F167" s="7">
        <f t="shared" si="32"/>
        <v>70455.42</v>
      </c>
      <c r="G167" s="7">
        <f t="shared" si="32"/>
        <v>89338.700000000012</v>
      </c>
      <c r="H167" s="7">
        <f t="shared" si="32"/>
        <v>67661.53</v>
      </c>
      <c r="I167" s="7">
        <f t="shared" si="32"/>
        <v>91627.840000000011</v>
      </c>
      <c r="J167" s="7">
        <f t="shared" si="32"/>
        <v>99899.69</v>
      </c>
      <c r="K167" s="7">
        <f t="shared" si="32"/>
        <v>88672.099999999991</v>
      </c>
      <c r="L167" s="7">
        <f t="shared" si="32"/>
        <v>111160.53</v>
      </c>
      <c r="M167" s="7">
        <f>M165+M166</f>
        <v>95052.599999999991</v>
      </c>
      <c r="N167" s="7">
        <f>N165+N166</f>
        <v>86433</v>
      </c>
      <c r="O167" s="448">
        <f>O165+O166</f>
        <v>1018753.1000000001</v>
      </c>
      <c r="P167" s="379"/>
    </row>
    <row r="168" spans="1:16" ht="18.75" customHeight="1" x14ac:dyDescent="0.3">
      <c r="A168" s="446"/>
      <c r="B168" s="273" t="s">
        <v>48</v>
      </c>
      <c r="C168" s="456">
        <f t="shared" ref="C168:O168" si="33">C165/C162</f>
        <v>1.0004696</v>
      </c>
      <c r="D168" s="456">
        <f t="shared" si="33"/>
        <v>0.87081053333333347</v>
      </c>
      <c r="E168" s="456">
        <f t="shared" si="33"/>
        <v>1.0413957333333332</v>
      </c>
      <c r="F168" s="456">
        <f t="shared" si="33"/>
        <v>0.93940559999999995</v>
      </c>
      <c r="G168" s="456">
        <f t="shared" si="33"/>
        <v>0.82641629999999999</v>
      </c>
      <c r="H168" s="270">
        <f t="shared" si="33"/>
        <v>0.79908813333333339</v>
      </c>
      <c r="I168" s="270">
        <f t="shared" si="33"/>
        <v>1.0839134666666668</v>
      </c>
      <c r="J168" s="270">
        <f t="shared" si="33"/>
        <v>0.92693690000000006</v>
      </c>
      <c r="K168" s="270">
        <f t="shared" si="33"/>
        <v>1.0882841333333333</v>
      </c>
      <c r="L168" s="270">
        <f t="shared" si="33"/>
        <v>1.0384353</v>
      </c>
      <c r="M168" s="270">
        <f t="shared" si="33"/>
        <v>0.82772599999999996</v>
      </c>
      <c r="N168" s="270">
        <f t="shared" si="33"/>
        <v>1</v>
      </c>
      <c r="O168" s="457">
        <f t="shared" si="33"/>
        <v>0.94870399000000005</v>
      </c>
    </row>
    <row r="169" spans="1:16" ht="15.75" customHeight="1" x14ac:dyDescent="0.25">
      <c r="A169" s="446"/>
      <c r="B169" s="14" t="s">
        <v>262</v>
      </c>
      <c r="C169" s="16">
        <f t="shared" ref="C169:N169" si="34">(C165/C162)-1</f>
        <v>4.6959999999995894E-4</v>
      </c>
      <c r="D169" s="458">
        <f t="shared" si="34"/>
        <v>-0.12918946666666653</v>
      </c>
      <c r="E169" s="16">
        <f t="shared" si="34"/>
        <v>4.139573333333324E-2</v>
      </c>
      <c r="F169" s="459">
        <f t="shared" si="34"/>
        <v>-6.0594400000000048E-2</v>
      </c>
      <c r="G169" s="459">
        <f t="shared" si="34"/>
        <v>-0.17358370000000001</v>
      </c>
      <c r="H169" s="16">
        <f t="shared" si="34"/>
        <v>-0.20091186666666661</v>
      </c>
      <c r="I169" s="16">
        <f t="shared" si="34"/>
        <v>8.3913466666666769E-2</v>
      </c>
      <c r="J169" s="16">
        <f t="shared" si="34"/>
        <v>-7.3063099999999936E-2</v>
      </c>
      <c r="K169" s="16">
        <f t="shared" si="34"/>
        <v>8.8284133333333292E-2</v>
      </c>
      <c r="L169" s="16">
        <f t="shared" si="34"/>
        <v>3.843529999999995E-2</v>
      </c>
      <c r="M169" s="16">
        <f t="shared" si="34"/>
        <v>-0.17227400000000004</v>
      </c>
      <c r="N169" s="16">
        <f t="shared" si="34"/>
        <v>0</v>
      </c>
      <c r="O169" s="460"/>
    </row>
    <row r="170" spans="1:16" ht="15.75" customHeight="1" thickBot="1" x14ac:dyDescent="0.3">
      <c r="A170" s="461"/>
      <c r="B170" s="462" t="s">
        <v>17</v>
      </c>
      <c r="C170" s="463">
        <f t="shared" ref="C170:N170" si="35">(C165/C88)-1</f>
        <v>0.46633010318900237</v>
      </c>
      <c r="D170" s="463">
        <f t="shared" si="35"/>
        <v>7.9361976046419924E-2</v>
      </c>
      <c r="E170" s="463">
        <f t="shared" si="35"/>
        <v>0.36710744050463351</v>
      </c>
      <c r="F170" s="463">
        <f t="shared" si="35"/>
        <v>4.3450868648601704E-2</v>
      </c>
      <c r="G170" s="463">
        <f t="shared" si="35"/>
        <v>0.10774215263136533</v>
      </c>
      <c r="H170" s="463">
        <f t="shared" si="35"/>
        <v>4.1897840775583672E-2</v>
      </c>
      <c r="I170" s="463">
        <f t="shared" si="35"/>
        <v>0.46353227319289747</v>
      </c>
      <c r="J170" s="463">
        <f t="shared" si="35"/>
        <v>0.21947009299256903</v>
      </c>
      <c r="K170" s="463">
        <f t="shared" si="35"/>
        <v>0.36233577582875909</v>
      </c>
      <c r="L170" s="463">
        <f t="shared" si="35"/>
        <v>0.5897630638518323</v>
      </c>
      <c r="M170" s="463">
        <f t="shared" si="35"/>
        <v>0.41110841752494864</v>
      </c>
      <c r="N170" s="463">
        <f t="shared" si="35"/>
        <v>0.44553150555190113</v>
      </c>
      <c r="O170" s="464"/>
    </row>
    <row r="171" spans="1:16" ht="15.75" customHeight="1" thickBot="1" x14ac:dyDescent="0.3">
      <c r="B171" s="14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6" ht="18.75" hidden="1" customHeight="1" x14ac:dyDescent="0.25">
      <c r="B172" s="271" t="s">
        <v>34</v>
      </c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 t="s">
        <v>35</v>
      </c>
      <c r="N172" s="18"/>
      <c r="P172" s="9"/>
    </row>
    <row r="173" spans="1:16" ht="15.75" hidden="1" customHeight="1" x14ac:dyDescent="0.25">
      <c r="B173" s="14" t="s">
        <v>34</v>
      </c>
      <c r="C173" s="18">
        <f>C174+C175</f>
        <v>95192.48</v>
      </c>
      <c r="D173" s="18">
        <f t="shared" ref="D173:N173" si="36">D174+D175</f>
        <v>85270.38</v>
      </c>
      <c r="E173" s="18">
        <f t="shared" si="36"/>
        <v>102522.07</v>
      </c>
      <c r="F173" s="18">
        <f t="shared" si="36"/>
        <v>119570.15</v>
      </c>
      <c r="G173" s="18">
        <f t="shared" si="36"/>
        <v>120094.84</v>
      </c>
      <c r="H173" s="18">
        <f t="shared" si="36"/>
        <v>90249.59</v>
      </c>
      <c r="I173" s="18">
        <f t="shared" si="36"/>
        <v>101290.65999999999</v>
      </c>
      <c r="J173" s="18">
        <f t="shared" si="36"/>
        <v>125367.65</v>
      </c>
      <c r="K173" s="18">
        <f t="shared" si="36"/>
        <v>125964.37</v>
      </c>
      <c r="L173" s="18">
        <f t="shared" si="36"/>
        <v>131997.15</v>
      </c>
      <c r="M173" s="18">
        <f t="shared" si="36"/>
        <v>107045.06</v>
      </c>
      <c r="N173" s="18">
        <f t="shared" si="36"/>
        <v>0</v>
      </c>
      <c r="P173" s="9"/>
    </row>
    <row r="174" spans="1:16" ht="15.75" hidden="1" customHeight="1" x14ac:dyDescent="0.25">
      <c r="B174" s="14" t="s">
        <v>36</v>
      </c>
      <c r="C174" s="18">
        <v>61072.959999999999</v>
      </c>
      <c r="D174" s="18">
        <v>55180.63</v>
      </c>
      <c r="E174" s="18">
        <v>63136.88</v>
      </c>
      <c r="F174" s="18">
        <v>58153.07</v>
      </c>
      <c r="G174" s="18">
        <v>77887.899999999994</v>
      </c>
      <c r="H174" s="18">
        <v>53045.08</v>
      </c>
      <c r="I174" s="18">
        <v>70755.289999999994</v>
      </c>
      <c r="J174" s="18">
        <v>79525.47</v>
      </c>
      <c r="K174" s="18">
        <v>77672.37</v>
      </c>
      <c r="L174" s="18">
        <v>80902.83</v>
      </c>
      <c r="M174" s="93">
        <v>64380.79</v>
      </c>
      <c r="N174" s="18"/>
      <c r="P174" s="9"/>
    </row>
    <row r="175" spans="1:16" s="83" customFormat="1" ht="15.75" hidden="1" customHeight="1" x14ac:dyDescent="0.25">
      <c r="B175" s="82" t="s">
        <v>37</v>
      </c>
      <c r="C175" s="84">
        <v>34119.519999999997</v>
      </c>
      <c r="D175" s="84">
        <v>30089.75</v>
      </c>
      <c r="E175" s="84">
        <v>39385.19</v>
      </c>
      <c r="F175" s="302">
        <v>61417.08</v>
      </c>
      <c r="G175" s="84">
        <v>42206.94</v>
      </c>
      <c r="H175" s="84">
        <v>37204.51</v>
      </c>
      <c r="I175" s="84">
        <v>30535.37</v>
      </c>
      <c r="J175" s="84">
        <v>45842.18</v>
      </c>
      <c r="K175" s="84">
        <v>48292</v>
      </c>
      <c r="L175" s="84">
        <v>51094.32</v>
      </c>
      <c r="M175" s="84">
        <v>42664.27</v>
      </c>
      <c r="N175" s="84"/>
      <c r="P175" s="77"/>
    </row>
    <row r="176" spans="1:16" ht="15.75" hidden="1" customHeight="1" x14ac:dyDescent="0.25">
      <c r="B176" t="s">
        <v>38</v>
      </c>
      <c r="C176">
        <f t="shared" ref="C176:N176" si="37">C174/C173</f>
        <v>0.64157336798032782</v>
      </c>
      <c r="D176" s="300">
        <f t="shared" si="37"/>
        <v>0.64712541447569483</v>
      </c>
      <c r="E176" s="300">
        <f t="shared" si="37"/>
        <v>0.61583696076366767</v>
      </c>
      <c r="F176" s="85">
        <f t="shared" si="37"/>
        <v>0.4863510667169022</v>
      </c>
      <c r="G176" s="85">
        <f t="shared" si="37"/>
        <v>0.64855326007345526</v>
      </c>
      <c r="H176" s="85">
        <f t="shared" si="37"/>
        <v>0.58775978926884875</v>
      </c>
      <c r="I176" s="85">
        <f t="shared" si="37"/>
        <v>0.69853716028703927</v>
      </c>
      <c r="J176" s="85">
        <f t="shared" si="37"/>
        <v>0.63433804494221602</v>
      </c>
      <c r="K176" s="85">
        <f t="shared" si="37"/>
        <v>0.61662174787997592</v>
      </c>
      <c r="L176" s="85">
        <f t="shared" si="37"/>
        <v>0.6129134606315364</v>
      </c>
      <c r="M176" s="85">
        <f t="shared" si="37"/>
        <v>0.60143634839384463</v>
      </c>
      <c r="N176" s="85" t="e">
        <f t="shared" si="37"/>
        <v>#DIV/0!</v>
      </c>
      <c r="P176" s="9"/>
    </row>
    <row r="177" spans="2:17" ht="15.75" hidden="1" customHeight="1" x14ac:dyDescent="0.25">
      <c r="B177" s="126" t="s">
        <v>42</v>
      </c>
      <c r="D177" s="373">
        <v>45965</v>
      </c>
      <c r="E177" s="373">
        <v>45966</v>
      </c>
      <c r="F177" s="373">
        <v>45967</v>
      </c>
      <c r="G177" s="373">
        <v>45968</v>
      </c>
      <c r="H177" s="373">
        <v>45969</v>
      </c>
      <c r="I177" s="373">
        <v>45970</v>
      </c>
      <c r="J177" s="373">
        <v>45971</v>
      </c>
      <c r="K177" s="373">
        <v>45972</v>
      </c>
      <c r="M177" s="192"/>
      <c r="N177" s="85"/>
      <c r="P177" s="9"/>
    </row>
    <row r="178" spans="2:17" ht="15.75" hidden="1" customHeight="1" x14ac:dyDescent="0.25">
      <c r="B178" s="82" t="s">
        <v>37</v>
      </c>
      <c r="D178" s="372">
        <v>28178.560000000001</v>
      </c>
      <c r="E178" s="372">
        <v>23570.23</v>
      </c>
      <c r="F178" s="372">
        <v>33723.81</v>
      </c>
      <c r="G178" s="372">
        <v>36562.89</v>
      </c>
      <c r="H178" s="372">
        <v>35427.019999999997</v>
      </c>
      <c r="I178" s="372">
        <v>32006.33</v>
      </c>
      <c r="J178" s="372">
        <v>29225.53</v>
      </c>
      <c r="K178" s="372">
        <v>44369.77</v>
      </c>
      <c r="L178" s="372">
        <v>45928.15</v>
      </c>
      <c r="M178" s="85"/>
      <c r="N178" s="85"/>
      <c r="O178" s="85"/>
      <c r="Q178" s="9"/>
    </row>
    <row r="179" spans="2:17" s="311" customFormat="1" ht="23.25" hidden="1" customHeight="1" x14ac:dyDescent="0.25">
      <c r="B179" s="312" t="s">
        <v>43</v>
      </c>
      <c r="C179" s="305">
        <f t="shared" ref="C179:N179" si="38">C165+C175</f>
        <v>109154.73999999999</v>
      </c>
      <c r="D179" s="305">
        <f t="shared" si="38"/>
        <v>95400.540000000008</v>
      </c>
      <c r="E179" s="306">
        <f t="shared" si="38"/>
        <v>117489.87</v>
      </c>
      <c r="F179" s="307">
        <f t="shared" si="38"/>
        <v>131872.5</v>
      </c>
      <c r="G179" s="307">
        <f t="shared" si="38"/>
        <v>124848.57</v>
      </c>
      <c r="H179" s="305">
        <f t="shared" si="38"/>
        <v>97136.12</v>
      </c>
      <c r="I179" s="308">
        <f t="shared" si="38"/>
        <v>111828.88</v>
      </c>
      <c r="J179" s="308">
        <f t="shared" si="38"/>
        <v>138535.87</v>
      </c>
      <c r="K179" s="308">
        <f t="shared" si="38"/>
        <v>129913.31</v>
      </c>
      <c r="L179" s="308">
        <f t="shared" si="38"/>
        <v>154937.85</v>
      </c>
      <c r="M179" s="308">
        <f t="shared" si="38"/>
        <v>125436.87</v>
      </c>
      <c r="N179" s="308">
        <f t="shared" si="38"/>
        <v>75000</v>
      </c>
      <c r="O179" s="309"/>
      <c r="P179" s="310"/>
    </row>
    <row r="180" spans="2:17" ht="16.5" hidden="1" customHeight="1" x14ac:dyDescent="0.25">
      <c r="B180" s="14"/>
      <c r="C180" s="125"/>
      <c r="D180" s="125"/>
      <c r="E180" s="125"/>
      <c r="F180" s="125"/>
      <c r="G180" s="125"/>
      <c r="H180" s="125"/>
      <c r="I180" s="125"/>
      <c r="J180" s="85"/>
      <c r="K180" s="85"/>
      <c r="L180" s="85"/>
      <c r="M180" s="85"/>
      <c r="N180" s="85"/>
      <c r="P180" s="9"/>
    </row>
    <row r="181" spans="2:17" s="353" customFormat="1" ht="15.75" hidden="1" customHeight="1" x14ac:dyDescent="0.25">
      <c r="B181" s="351" t="s">
        <v>411</v>
      </c>
      <c r="C181" s="352">
        <f t="shared" ref="C181:J181" si="39">(C165+C166)/3.5</f>
        <v>21438.634285714284</v>
      </c>
      <c r="D181" s="352">
        <f t="shared" si="39"/>
        <v>18660.51142857143</v>
      </c>
      <c r="E181" s="352">
        <f t="shared" si="39"/>
        <v>22315.622857142855</v>
      </c>
      <c r="F181" s="352">
        <f t="shared" si="39"/>
        <v>20130.12</v>
      </c>
      <c r="G181" s="352">
        <f t="shared" si="39"/>
        <v>25525.342857142859</v>
      </c>
      <c r="H181" s="352">
        <f t="shared" si="39"/>
        <v>19331.865714285716</v>
      </c>
      <c r="I181" s="352">
        <f t="shared" si="39"/>
        <v>26179.38285714286</v>
      </c>
      <c r="J181" s="352">
        <f t="shared" si="39"/>
        <v>28542.768571428573</v>
      </c>
      <c r="K181" s="352">
        <f>(K165+K166)/3.5</f>
        <v>25334.885714285712</v>
      </c>
      <c r="L181" s="352">
        <f>(L165+L166)/3.5</f>
        <v>31760.151428571429</v>
      </c>
      <c r="M181" s="149"/>
      <c r="N181" s="149"/>
      <c r="P181" s="354"/>
    </row>
    <row r="182" spans="2:17" ht="15.75" hidden="1" customHeight="1" x14ac:dyDescent="0.25">
      <c r="B182" s="14"/>
      <c r="C182" s="125"/>
      <c r="D182" s="125"/>
      <c r="E182" s="125"/>
      <c r="F182" s="125"/>
      <c r="G182" s="125"/>
      <c r="H182" s="125"/>
      <c r="I182" s="125"/>
      <c r="J182" s="85"/>
      <c r="K182" s="85"/>
      <c r="L182" s="85"/>
      <c r="M182" s="85"/>
      <c r="N182" s="85"/>
      <c r="P182" s="9"/>
    </row>
    <row r="183" spans="2:17" ht="15.75" hidden="1" customHeight="1" x14ac:dyDescent="0.25">
      <c r="B183" s="14" t="s">
        <v>44</v>
      </c>
      <c r="C183" s="245">
        <f>8598.25/51412.62</f>
        <v>0.16724006673847783</v>
      </c>
      <c r="D183" s="107">
        <f>7024.69/D164</f>
        <v>0.16007022892761885</v>
      </c>
      <c r="E183" s="107">
        <f>6477.22/E164</f>
        <v>0.11649739117297396</v>
      </c>
      <c r="F183" s="98">
        <f>6527.44/F164</f>
        <v>0.1260312599013404</v>
      </c>
      <c r="G183" s="98">
        <f>11271.3/G165</f>
        <v>0.1363876777357852</v>
      </c>
      <c r="H183" s="98">
        <f>6680.95/H165</f>
        <v>0.11147623099062415</v>
      </c>
      <c r="I183" s="245">
        <f>9598.18/I164</f>
        <v>0.17077600206251126</v>
      </c>
      <c r="J183" s="245">
        <f>9971.67/J164</f>
        <v>0.1444510114947524</v>
      </c>
      <c r="K183" s="245">
        <f>6950.59/K164</f>
        <v>0.1003160625867137</v>
      </c>
      <c r="L183" s="245">
        <f>12127.53/L164</f>
        <v>0.15150284453616697</v>
      </c>
      <c r="M183" s="97">
        <f>6066.19/M164</f>
        <v>9.188380591827687E-2</v>
      </c>
    </row>
    <row r="184" spans="2:17" ht="15.75" hidden="1" customHeight="1" x14ac:dyDescent="0.25">
      <c r="B184" s="14" t="s">
        <v>45</v>
      </c>
      <c r="C184" s="188">
        <f t="shared" ref="C184:J184" si="40">C175/C192</f>
        <v>205.9851701640909</v>
      </c>
      <c r="D184" s="188">
        <f t="shared" si="40"/>
        <v>220.22242419667558</v>
      </c>
      <c r="E184" s="188">
        <f t="shared" si="40"/>
        <v>270.28421139424682</v>
      </c>
      <c r="F184" s="188">
        <f t="shared" si="40"/>
        <v>473.34150360611005</v>
      </c>
      <c r="G184" s="188">
        <f t="shared" si="40"/>
        <v>289.06893583778543</v>
      </c>
      <c r="H184" s="188">
        <f t="shared" si="40"/>
        <v>261.34954008410585</v>
      </c>
      <c r="I184" s="188">
        <f t="shared" si="40"/>
        <v>192.31682135511184</v>
      </c>
      <c r="J184" s="188">
        <f t="shared" si="40"/>
        <v>310.58089326252951</v>
      </c>
      <c r="K184" s="366">
        <v>180</v>
      </c>
      <c r="L184" s="188">
        <v>229</v>
      </c>
      <c r="M184" s="188">
        <f>M175/M192</f>
        <v>274.21382969726699</v>
      </c>
      <c r="N184" s="188" t="e">
        <f>N175/N192</f>
        <v>#DIV/0!</v>
      </c>
    </row>
    <row r="185" spans="2:17" ht="12.75" hidden="1" customHeight="1" x14ac:dyDescent="0.25">
      <c r="B185" s="14"/>
    </row>
    <row r="186" spans="2:17" ht="15.75" hidden="1" customHeight="1" x14ac:dyDescent="0.25">
      <c r="B186" s="23" t="s">
        <v>39</v>
      </c>
      <c r="C186" s="114">
        <v>104</v>
      </c>
      <c r="D186" s="114">
        <v>102</v>
      </c>
      <c r="E186" s="273">
        <v>113</v>
      </c>
      <c r="F186" s="297">
        <v>134</v>
      </c>
      <c r="G186" s="297">
        <v>134</v>
      </c>
      <c r="H186" s="297">
        <v>97</v>
      </c>
      <c r="I186" s="117">
        <v>131</v>
      </c>
      <c r="J186" s="297">
        <v>150</v>
      </c>
      <c r="K186" s="367">
        <v>159</v>
      </c>
      <c r="L186" s="297">
        <v>149</v>
      </c>
      <c r="M186" s="17">
        <v>125</v>
      </c>
      <c r="N186" s="17"/>
    </row>
    <row r="187" spans="2:17" ht="15.75" hidden="1" customHeight="1" x14ac:dyDescent="0.25">
      <c r="B187" s="23" t="s">
        <v>22</v>
      </c>
      <c r="C187" s="278">
        <f>366+87</f>
        <v>453</v>
      </c>
      <c r="D187" s="278">
        <f>81+397</f>
        <v>478</v>
      </c>
      <c r="E187" s="278">
        <f>445+91</f>
        <v>536</v>
      </c>
      <c r="F187" s="278">
        <f>83+460</f>
        <v>543</v>
      </c>
      <c r="G187" s="278">
        <f>492+74</f>
        <v>566</v>
      </c>
      <c r="H187" s="278">
        <f>54+367</f>
        <v>421</v>
      </c>
      <c r="I187" s="278">
        <f>425+87</f>
        <v>512</v>
      </c>
      <c r="J187" s="278">
        <f>86+542</f>
        <v>628</v>
      </c>
      <c r="K187" s="278">
        <f>540+67</f>
        <v>607</v>
      </c>
      <c r="L187" s="297">
        <f>583+84</f>
        <v>667</v>
      </c>
      <c r="M187">
        <v>532</v>
      </c>
    </row>
    <row r="188" spans="2:17" ht="15.75" hidden="1" customHeight="1" x14ac:dyDescent="0.25">
      <c r="B188" s="23" t="s">
        <v>214</v>
      </c>
      <c r="C188" s="260">
        <f>C187/22</f>
        <v>20.59090909090909</v>
      </c>
      <c r="D188" s="260">
        <f>D187/22</f>
        <v>21.727272727272727</v>
      </c>
      <c r="E188" s="260">
        <f t="shared" ref="E188:N188" si="41">E187/22</f>
        <v>24.363636363636363</v>
      </c>
      <c r="F188" s="260">
        <f t="shared" si="41"/>
        <v>24.681818181818183</v>
      </c>
      <c r="G188" s="260">
        <f t="shared" si="41"/>
        <v>25.727272727272727</v>
      </c>
      <c r="H188" s="260">
        <f t="shared" si="41"/>
        <v>19.136363636363637</v>
      </c>
      <c r="I188" s="260">
        <f t="shared" si="41"/>
        <v>23.272727272727273</v>
      </c>
      <c r="J188" s="260">
        <f t="shared" si="41"/>
        <v>28.545454545454547</v>
      </c>
      <c r="K188" s="260">
        <f t="shared" si="41"/>
        <v>27.59090909090909</v>
      </c>
      <c r="L188" s="260">
        <f t="shared" si="41"/>
        <v>30.318181818181817</v>
      </c>
      <c r="M188" s="260">
        <f t="shared" si="41"/>
        <v>24.181818181818183</v>
      </c>
      <c r="N188" s="260">
        <f t="shared" si="41"/>
        <v>0</v>
      </c>
    </row>
    <row r="189" spans="2:17" ht="15.75" hidden="1" customHeight="1" x14ac:dyDescent="0.25">
      <c r="B189" s="23" t="s">
        <v>23</v>
      </c>
      <c r="C189" s="279">
        <f>4463+1939</f>
        <v>6402</v>
      </c>
      <c r="D189" s="278">
        <f>1774+4227</f>
        <v>6001</v>
      </c>
      <c r="E189" s="278">
        <f>4872+2003</f>
        <v>6875</v>
      </c>
      <c r="F189" s="278">
        <f>1791+4618</f>
        <v>6409</v>
      </c>
      <c r="G189" s="278">
        <f>5435+1702</f>
        <v>7137</v>
      </c>
      <c r="H189" s="278">
        <f>1017+4100</f>
        <v>5117</v>
      </c>
      <c r="I189" s="278">
        <f>5284+2083</f>
        <v>7367</v>
      </c>
      <c r="J189" s="278">
        <f>6194+1837</f>
        <v>8031</v>
      </c>
      <c r="K189" s="278">
        <f>6184+1095</f>
        <v>7279</v>
      </c>
      <c r="L189" s="260">
        <v>9484</v>
      </c>
      <c r="M189" s="278">
        <v>7551</v>
      </c>
    </row>
    <row r="190" spans="2:17" ht="15.75" hidden="1" customHeight="1" x14ac:dyDescent="0.25">
      <c r="B190" s="23"/>
      <c r="C190" s="278"/>
      <c r="E190" s="278"/>
    </row>
    <row r="191" spans="2:17" ht="15.75" hidden="1" customHeight="1" x14ac:dyDescent="0.25">
      <c r="B191" s="23" t="s">
        <v>49</v>
      </c>
      <c r="C191" s="102">
        <f>C189/C187</f>
        <v>14.132450331125828</v>
      </c>
      <c r="D191" s="102">
        <f t="shared" ref="D191:N191" si="42">D189/D187</f>
        <v>12.55439330543933</v>
      </c>
      <c r="E191" s="102">
        <f t="shared" si="42"/>
        <v>12.826492537313433</v>
      </c>
      <c r="F191" s="102">
        <f t="shared" si="42"/>
        <v>11.802946593001842</v>
      </c>
      <c r="G191" s="102">
        <f t="shared" si="42"/>
        <v>12.609540636042404</v>
      </c>
      <c r="H191" s="102">
        <f t="shared" si="42"/>
        <v>12.154394299287411</v>
      </c>
      <c r="I191" s="102">
        <f t="shared" si="42"/>
        <v>14.388671875</v>
      </c>
      <c r="J191" s="102">
        <f t="shared" si="42"/>
        <v>12.788216560509554</v>
      </c>
      <c r="K191" s="102">
        <f t="shared" si="42"/>
        <v>11.99176276771005</v>
      </c>
      <c r="L191" s="102">
        <f t="shared" si="42"/>
        <v>14.218890554722639</v>
      </c>
      <c r="M191" s="102">
        <f t="shared" si="42"/>
        <v>14.193609022556391</v>
      </c>
      <c r="N191" s="102" t="e">
        <f t="shared" si="42"/>
        <v>#DIV/0!</v>
      </c>
    </row>
    <row r="192" spans="2:17" ht="15.75" hidden="1" customHeight="1" x14ac:dyDescent="0.25">
      <c r="B192" s="23" t="s">
        <v>50</v>
      </c>
      <c r="C192" s="280">
        <f t="shared" ref="C192:N192" si="43">C165/C187</f>
        <v>165.64066225165564</v>
      </c>
      <c r="D192" s="112">
        <f t="shared" si="43"/>
        <v>136.63345188284521</v>
      </c>
      <c r="E192" s="112">
        <f t="shared" si="43"/>
        <v>145.71768656716418</v>
      </c>
      <c r="F192" s="112">
        <f t="shared" si="43"/>
        <v>129.75215469613261</v>
      </c>
      <c r="G192" s="112">
        <f t="shared" si="43"/>
        <v>146.00994699646643</v>
      </c>
      <c r="H192" s="112">
        <f t="shared" si="43"/>
        <v>142.35536817102138</v>
      </c>
      <c r="I192" s="112">
        <f t="shared" si="43"/>
        <v>158.77638671875002</v>
      </c>
      <c r="J192" s="344">
        <f t="shared" si="43"/>
        <v>147.60141719745224</v>
      </c>
      <c r="K192" s="101">
        <f t="shared" si="43"/>
        <v>134.46673805601318</v>
      </c>
      <c r="L192" s="101">
        <f t="shared" si="43"/>
        <v>155.68745127436281</v>
      </c>
      <c r="M192" s="118">
        <f t="shared" si="43"/>
        <v>155.58759398496238</v>
      </c>
      <c r="N192" s="11" t="e">
        <f t="shared" si="43"/>
        <v>#DIV/0!</v>
      </c>
    </row>
    <row r="193" spans="2:14" ht="15.75" hidden="1" customHeight="1" x14ac:dyDescent="0.25">
      <c r="B193" s="318" t="s">
        <v>340</v>
      </c>
      <c r="C193" s="101"/>
      <c r="D193" s="11"/>
      <c r="E193" s="11"/>
      <c r="F193" s="317">
        <v>1245.3399999999999</v>
      </c>
      <c r="G193" s="317">
        <v>3819.7</v>
      </c>
      <c r="H193" s="11"/>
      <c r="I193" s="11"/>
      <c r="J193" s="11"/>
      <c r="K193" s="11"/>
      <c r="L193" s="11"/>
      <c r="M193" s="11"/>
      <c r="N193" s="11"/>
    </row>
    <row r="194" spans="2:14" ht="15.75" hidden="1" customHeight="1" x14ac:dyDescent="0.25">
      <c r="B194" s="201" t="s">
        <v>24</v>
      </c>
      <c r="C194" s="287">
        <v>0.94</v>
      </c>
      <c r="D194" s="286">
        <v>0.89</v>
      </c>
      <c r="E194" s="286">
        <v>0.88</v>
      </c>
      <c r="F194" s="253"/>
      <c r="G194" s="286">
        <v>0.77</v>
      </c>
      <c r="H194" s="286">
        <v>0.95</v>
      </c>
      <c r="I194" s="286">
        <v>0.83</v>
      </c>
      <c r="J194" s="286">
        <v>0.77</v>
      </c>
      <c r="K194" s="283">
        <v>0.94</v>
      </c>
      <c r="L194" s="24"/>
      <c r="M194" s="24"/>
    </row>
    <row r="195" spans="2:14" ht="15.75" hidden="1" customHeight="1" x14ac:dyDescent="0.25">
      <c r="B195" s="201" t="s">
        <v>51</v>
      </c>
      <c r="C195" s="285">
        <v>140</v>
      </c>
      <c r="D195" s="285">
        <v>129</v>
      </c>
      <c r="E195" s="285">
        <v>160</v>
      </c>
      <c r="F195" s="254"/>
      <c r="G195" s="285">
        <v>90</v>
      </c>
      <c r="H195" s="285">
        <v>61</v>
      </c>
      <c r="I195" s="285">
        <v>70</v>
      </c>
      <c r="J195" s="285">
        <v>101</v>
      </c>
      <c r="K195" s="284">
        <v>140</v>
      </c>
    </row>
    <row r="196" spans="2:14" ht="15.75" hidden="1" customHeight="1" x14ac:dyDescent="0.25">
      <c r="B196" s="328"/>
      <c r="C196" s="278"/>
      <c r="D196" s="297"/>
      <c r="E196" s="278"/>
      <c r="G196" s="329"/>
      <c r="H196" s="329"/>
      <c r="I196" s="254"/>
      <c r="J196" s="254"/>
      <c r="K196" s="254"/>
    </row>
    <row r="197" spans="2:14" ht="15.75" hidden="1" customHeight="1" x14ac:dyDescent="0.25">
      <c r="B197" s="217" t="s">
        <v>66</v>
      </c>
      <c r="C197" s="325"/>
      <c r="D197" s="326"/>
      <c r="E197" s="240"/>
      <c r="F197" s="220"/>
      <c r="G197" s="221"/>
      <c r="H197" s="221"/>
      <c r="I197" s="222"/>
      <c r="J197" s="222"/>
      <c r="K197" s="222"/>
      <c r="L197" s="222"/>
      <c r="M197" s="222"/>
      <c r="N197" s="222"/>
    </row>
    <row r="198" spans="2:14" ht="15.75" hidden="1" customHeight="1" x14ac:dyDescent="0.25">
      <c r="C198" s="241" t="s">
        <v>67</v>
      </c>
      <c r="D198" s="242" t="s">
        <v>68</v>
      </c>
      <c r="E198" s="324" t="s">
        <v>68</v>
      </c>
      <c r="F198" s="232" t="s">
        <v>69</v>
      </c>
      <c r="G198" s="233" t="s">
        <v>304</v>
      </c>
      <c r="H198" s="212" t="s">
        <v>337</v>
      </c>
      <c r="I198" s="333" t="s">
        <v>99</v>
      </c>
      <c r="J198" s="212" t="s">
        <v>70</v>
      </c>
      <c r="K198" s="212" t="s">
        <v>67</v>
      </c>
      <c r="L198" s="212" t="s">
        <v>385</v>
      </c>
      <c r="M198" s="212" t="s">
        <v>385</v>
      </c>
    </row>
    <row r="199" spans="2:14" ht="15.75" hidden="1" customHeight="1" x14ac:dyDescent="0.25">
      <c r="B199" s="183"/>
      <c r="C199" s="244" t="s">
        <v>70</v>
      </c>
      <c r="D199" s="194" t="s">
        <v>71</v>
      </c>
      <c r="E199" s="323" t="s">
        <v>72</v>
      </c>
      <c r="F199" s="195" t="s">
        <v>67</v>
      </c>
      <c r="G199" s="212" t="s">
        <v>305</v>
      </c>
      <c r="H199" s="233" t="s">
        <v>99</v>
      </c>
      <c r="I199" s="212" t="s">
        <v>67</v>
      </c>
      <c r="J199" s="212" t="s">
        <v>67</v>
      </c>
      <c r="K199" s="212" t="s">
        <v>72</v>
      </c>
      <c r="L199" s="212" t="s">
        <v>69</v>
      </c>
      <c r="M199" s="80" t="s">
        <v>67</v>
      </c>
    </row>
    <row r="200" spans="2:14" hidden="1" x14ac:dyDescent="0.25">
      <c r="C200" s="244" t="s">
        <v>73</v>
      </c>
      <c r="D200" s="194" t="s">
        <v>72</v>
      </c>
      <c r="E200" s="323" t="s">
        <v>74</v>
      </c>
      <c r="F200" s="194" t="s">
        <v>89</v>
      </c>
      <c r="G200" s="212" t="s">
        <v>306</v>
      </c>
      <c r="H200" s="194" t="s">
        <v>89</v>
      </c>
      <c r="I200" s="212" t="s">
        <v>343</v>
      </c>
      <c r="J200" s="194" t="s">
        <v>99</v>
      </c>
      <c r="K200" s="212" t="s">
        <v>385</v>
      </c>
      <c r="L200" s="194" t="s">
        <v>67</v>
      </c>
      <c r="M200" s="212" t="s">
        <v>435</v>
      </c>
    </row>
    <row r="201" spans="2:14" ht="15.75" hidden="1" customHeight="1" x14ac:dyDescent="0.25">
      <c r="B201" s="156"/>
      <c r="C201" s="327" t="s">
        <v>71</v>
      </c>
      <c r="D201" s="194" t="s">
        <v>75</v>
      </c>
      <c r="E201" s="323" t="s">
        <v>76</v>
      </c>
      <c r="F201" s="319" t="s">
        <v>292</v>
      </c>
      <c r="G201" s="212" t="s">
        <v>307</v>
      </c>
      <c r="H201" s="194" t="s">
        <v>81</v>
      </c>
      <c r="I201" s="212" t="s">
        <v>191</v>
      </c>
      <c r="J201" s="194" t="s">
        <v>72</v>
      </c>
      <c r="K201" s="212" t="s">
        <v>77</v>
      </c>
      <c r="L201" s="194" t="s">
        <v>191</v>
      </c>
      <c r="M201" s="212" t="s">
        <v>70</v>
      </c>
    </row>
    <row r="202" spans="2:14" ht="15.75" hidden="1" customHeight="1" x14ac:dyDescent="0.25">
      <c r="B202" s="36"/>
      <c r="C202" s="195" t="s">
        <v>79</v>
      </c>
      <c r="D202" s="195"/>
      <c r="E202" s="323" t="s">
        <v>77</v>
      </c>
      <c r="F202" s="194" t="s">
        <v>293</v>
      </c>
      <c r="G202" s="212" t="s">
        <v>100</v>
      </c>
      <c r="H202" s="212" t="s">
        <v>77</v>
      </c>
      <c r="I202" s="212" t="s">
        <v>188</v>
      </c>
      <c r="J202" s="212" t="s">
        <v>365</v>
      </c>
      <c r="K202" s="212" t="s">
        <v>386</v>
      </c>
      <c r="L202" s="212" t="s">
        <v>432</v>
      </c>
      <c r="M202" s="212" t="s">
        <v>84</v>
      </c>
    </row>
    <row r="203" spans="2:14" ht="15.75" hidden="1" customHeight="1" x14ac:dyDescent="0.25">
      <c r="B203" s="36"/>
      <c r="C203" s="195" t="s">
        <v>82</v>
      </c>
      <c r="D203" s="195"/>
      <c r="E203" s="323" t="s">
        <v>80</v>
      </c>
      <c r="F203" s="194" t="s">
        <v>294</v>
      </c>
      <c r="G203" s="194" t="s">
        <v>308</v>
      </c>
      <c r="H203" s="319" t="s">
        <v>181</v>
      </c>
      <c r="I203" s="212" t="s">
        <v>344</v>
      </c>
      <c r="J203" s="194" t="s">
        <v>366</v>
      </c>
      <c r="K203" s="212" t="s">
        <v>387</v>
      </c>
      <c r="L203" s="212" t="s">
        <v>365</v>
      </c>
      <c r="M203" s="212" t="s">
        <v>436</v>
      </c>
    </row>
    <row r="204" spans="2:14" ht="15.75" hidden="1" customHeight="1" x14ac:dyDescent="0.25">
      <c r="B204" s="36"/>
      <c r="C204" s="195" t="s">
        <v>85</v>
      </c>
      <c r="D204" s="195"/>
      <c r="E204" s="323" t="s">
        <v>83</v>
      </c>
      <c r="F204" s="194" t="s">
        <v>295</v>
      </c>
      <c r="G204" s="194" t="s">
        <v>309</v>
      </c>
      <c r="H204" s="194" t="s">
        <v>188</v>
      </c>
      <c r="I204" s="212" t="s">
        <v>158</v>
      </c>
      <c r="J204" s="194" t="s">
        <v>84</v>
      </c>
      <c r="K204" s="212" t="s">
        <v>90</v>
      </c>
      <c r="L204" s="212" t="s">
        <v>90</v>
      </c>
      <c r="M204" s="212" t="s">
        <v>393</v>
      </c>
    </row>
    <row r="205" spans="2:14" ht="15.75" hidden="1" customHeight="1" x14ac:dyDescent="0.25">
      <c r="B205" s="36"/>
      <c r="C205" s="195" t="s">
        <v>88</v>
      </c>
      <c r="D205" s="195"/>
      <c r="E205" s="323" t="s">
        <v>86</v>
      </c>
      <c r="F205" s="194" t="s">
        <v>188</v>
      </c>
      <c r="G205" s="194" t="s">
        <v>310</v>
      </c>
      <c r="H205" s="194" t="s">
        <v>338</v>
      </c>
      <c r="I205" s="212" t="s">
        <v>84</v>
      </c>
      <c r="J205" s="194" t="s">
        <v>191</v>
      </c>
      <c r="K205" s="212" t="s">
        <v>388</v>
      </c>
      <c r="L205" s="212" t="s">
        <v>293</v>
      </c>
      <c r="M205" s="212" t="s">
        <v>339</v>
      </c>
    </row>
    <row r="206" spans="2:14" ht="15.75" hidden="1" customHeight="1" x14ac:dyDescent="0.25">
      <c r="B206" s="36"/>
      <c r="C206" s="195" t="s">
        <v>91</v>
      </c>
      <c r="D206" s="195"/>
      <c r="E206" s="323" t="s">
        <v>89</v>
      </c>
      <c r="F206" s="194" t="s">
        <v>296</v>
      </c>
      <c r="G206" s="194" t="s">
        <v>106</v>
      </c>
      <c r="H206" s="194" t="s">
        <v>339</v>
      </c>
      <c r="I206" s="212" t="s">
        <v>254</v>
      </c>
      <c r="J206" s="194" t="s">
        <v>90</v>
      </c>
      <c r="K206" s="212" t="s">
        <v>389</v>
      </c>
      <c r="L206" s="212" t="s">
        <v>171</v>
      </c>
      <c r="M206" s="212" t="s">
        <v>437</v>
      </c>
    </row>
    <row r="207" spans="2:14" hidden="1" x14ac:dyDescent="0.25">
      <c r="C207" s="195"/>
      <c r="D207" s="195"/>
      <c r="E207" s="323" t="s">
        <v>92</v>
      </c>
      <c r="F207" s="194" t="s">
        <v>81</v>
      </c>
      <c r="G207" s="194" t="s">
        <v>311</v>
      </c>
      <c r="H207" s="194" t="s">
        <v>220</v>
      </c>
      <c r="I207" s="212" t="s">
        <v>345</v>
      </c>
      <c r="J207" s="194" t="s">
        <v>293</v>
      </c>
      <c r="K207" s="212" t="s">
        <v>390</v>
      </c>
      <c r="L207" s="212" t="s">
        <v>433</v>
      </c>
      <c r="M207" s="212" t="s">
        <v>365</v>
      </c>
    </row>
    <row r="208" spans="2:14" ht="15.75" hidden="1" customHeight="1" x14ac:dyDescent="0.25">
      <c r="C208" s="195" t="s">
        <v>94</v>
      </c>
      <c r="D208" s="195"/>
      <c r="F208" s="194" t="s">
        <v>74</v>
      </c>
      <c r="G208" s="194" t="s">
        <v>312</v>
      </c>
      <c r="H208" s="194" t="s">
        <v>167</v>
      </c>
      <c r="I208" s="212" t="s">
        <v>321</v>
      </c>
      <c r="J208" s="194" t="s">
        <v>367</v>
      </c>
      <c r="K208" s="212" t="s">
        <v>391</v>
      </c>
      <c r="L208" s="212" t="s">
        <v>339</v>
      </c>
      <c r="M208" s="212" t="s">
        <v>438</v>
      </c>
    </row>
    <row r="209" spans="2:16" hidden="1" x14ac:dyDescent="0.25">
      <c r="I209" s="212" t="s">
        <v>119</v>
      </c>
      <c r="J209" s="194" t="s">
        <v>89</v>
      </c>
      <c r="K209" s="212" t="s">
        <v>167</v>
      </c>
      <c r="L209" s="212" t="s">
        <v>89</v>
      </c>
      <c r="M209" s="212" t="s">
        <v>220</v>
      </c>
    </row>
    <row r="210" spans="2:16" ht="18.75" hidden="1" x14ac:dyDescent="0.3">
      <c r="I210" s="212"/>
      <c r="J210" s="194"/>
      <c r="K210" s="212"/>
      <c r="L210" s="212"/>
      <c r="M210" s="391" t="s">
        <v>464</v>
      </c>
    </row>
    <row r="211" spans="2:16" ht="15.75" hidden="1" x14ac:dyDescent="0.25">
      <c r="I211" s="212"/>
      <c r="J211" s="194"/>
      <c r="K211" s="212"/>
      <c r="L211" s="212"/>
      <c r="M211" s="390">
        <f>SUM(N218+N225+N232+N239+N248+N260+N272+N283+N296+N309+N321+N334)</f>
        <v>2176.6560029954808</v>
      </c>
    </row>
    <row r="212" spans="2:16" ht="15.75" hidden="1" x14ac:dyDescent="0.25">
      <c r="B212" s="290" t="s">
        <v>263</v>
      </c>
      <c r="C212" s="290" t="s">
        <v>264</v>
      </c>
      <c r="D212" s="295" t="s">
        <v>265</v>
      </c>
      <c r="E212" s="295" t="s">
        <v>266</v>
      </c>
      <c r="F212" s="295" t="s">
        <v>265</v>
      </c>
      <c r="G212" s="295" t="s">
        <v>267</v>
      </c>
      <c r="H212" s="295" t="s">
        <v>268</v>
      </c>
      <c r="I212" s="295" t="s">
        <v>269</v>
      </c>
      <c r="J212" s="295" t="s">
        <v>270</v>
      </c>
      <c r="K212" s="386" t="s">
        <v>462</v>
      </c>
      <c r="L212" s="386" t="s">
        <v>458</v>
      </c>
      <c r="M212" s="386"/>
      <c r="N212" s="386" t="s">
        <v>459</v>
      </c>
      <c r="O212" s="386" t="s">
        <v>460</v>
      </c>
      <c r="P212" s="386" t="s">
        <v>461</v>
      </c>
    </row>
    <row r="213" spans="2:16" hidden="1" x14ac:dyDescent="0.25">
      <c r="B213" s="291"/>
      <c r="C213" s="278" t="s">
        <v>283</v>
      </c>
      <c r="D213" s="278">
        <v>13</v>
      </c>
      <c r="E213" s="292">
        <v>4542.05</v>
      </c>
      <c r="F213" s="278">
        <v>55</v>
      </c>
      <c r="G213" s="292">
        <v>8110.65</v>
      </c>
      <c r="H213" s="278">
        <f>13+55</f>
        <v>68</v>
      </c>
      <c r="I213" s="292">
        <f>4542.05+8110.65</f>
        <v>12652.7</v>
      </c>
      <c r="J213" s="294">
        <f>G213/I213</f>
        <v>0.64102128399472047</v>
      </c>
      <c r="K213" s="387">
        <f>(G213*0.005)*J213</f>
        <v>25.995496385158898</v>
      </c>
      <c r="L213" s="388">
        <v>0.15</v>
      </c>
      <c r="M213" s="387"/>
      <c r="N213" s="288">
        <f>K213-M213</f>
        <v>25.995496385158898</v>
      </c>
      <c r="O213" s="264"/>
    </row>
    <row r="214" spans="2:16" hidden="1" x14ac:dyDescent="0.25">
      <c r="B214" s="295"/>
      <c r="C214" s="278" t="s">
        <v>284</v>
      </c>
      <c r="D214" s="278">
        <v>23</v>
      </c>
      <c r="E214" s="292">
        <v>6216.85</v>
      </c>
      <c r="F214" s="278">
        <v>79</v>
      </c>
      <c r="G214" s="292">
        <v>13079.74</v>
      </c>
      <c r="H214" s="278">
        <f t="shared" ref="H214:I217" si="44">D214+F214</f>
        <v>102</v>
      </c>
      <c r="I214" s="292">
        <f t="shared" si="44"/>
        <v>19296.59</v>
      </c>
      <c r="J214" s="294">
        <f t="shared" ref="J214:J217" si="45">G214/I214</f>
        <v>0.67782649680591234</v>
      </c>
      <c r="K214" s="387">
        <f>(G214*0.005)*J214</f>
        <v>44.328971716660824</v>
      </c>
      <c r="L214" s="388">
        <v>0.15</v>
      </c>
      <c r="M214" s="387"/>
      <c r="N214" s="288">
        <f t="shared" ref="N214:N215" si="46">K214-M214</f>
        <v>44.328971716660824</v>
      </c>
    </row>
    <row r="215" spans="2:16" hidden="1" x14ac:dyDescent="0.25">
      <c r="B215" s="295" t="s">
        <v>271</v>
      </c>
      <c r="C215" s="278" t="s">
        <v>285</v>
      </c>
      <c r="D215" s="278">
        <v>18</v>
      </c>
      <c r="E215" s="292">
        <v>5208.46</v>
      </c>
      <c r="F215" s="278">
        <v>95</v>
      </c>
      <c r="G215" s="292">
        <v>14533.77</v>
      </c>
      <c r="H215" s="278">
        <f t="shared" si="44"/>
        <v>113</v>
      </c>
      <c r="I215" s="292">
        <f t="shared" si="44"/>
        <v>19742.23</v>
      </c>
      <c r="J215" s="294">
        <f t="shared" si="45"/>
        <v>0.73617671357288417</v>
      </c>
      <c r="K215" s="387">
        <f t="shared" ref="K215" si="47">(G215*0.005)*J215</f>
        <v>53.497115172120886</v>
      </c>
      <c r="L215" s="388">
        <v>0.15</v>
      </c>
      <c r="M215" s="387"/>
      <c r="N215" s="288">
        <f t="shared" si="46"/>
        <v>53.497115172120886</v>
      </c>
    </row>
    <row r="216" spans="2:16" hidden="1" x14ac:dyDescent="0.25">
      <c r="B216" s="295"/>
      <c r="C216" s="278" t="s">
        <v>286</v>
      </c>
      <c r="D216" s="278">
        <v>33</v>
      </c>
      <c r="E216" s="292">
        <v>8009.36</v>
      </c>
      <c r="F216" s="278">
        <v>76</v>
      </c>
      <c r="G216" s="292">
        <v>11733</v>
      </c>
      <c r="H216" s="278">
        <f t="shared" si="44"/>
        <v>109</v>
      </c>
      <c r="I216" s="292">
        <f t="shared" si="44"/>
        <v>19742.36</v>
      </c>
      <c r="J216" s="294">
        <f t="shared" si="45"/>
        <v>0.59430584793307384</v>
      </c>
      <c r="K216" s="387">
        <f>(G216*0.005)*J216</f>
        <v>34.864952568993779</v>
      </c>
      <c r="L216" s="388">
        <v>0.15</v>
      </c>
      <c r="M216" s="387"/>
      <c r="N216" s="288">
        <f t="shared" ref="N216:N217" si="48">K216-M216</f>
        <v>34.864952568993779</v>
      </c>
    </row>
    <row r="217" spans="2:16" hidden="1" x14ac:dyDescent="0.25">
      <c r="B217" s="295"/>
      <c r="C217" s="278" t="s">
        <v>287</v>
      </c>
      <c r="D217" s="278">
        <v>12</v>
      </c>
      <c r="E217" s="292">
        <v>4263.2</v>
      </c>
      <c r="F217" s="278">
        <v>54</v>
      </c>
      <c r="G217" s="292">
        <v>7842.84</v>
      </c>
      <c r="H217" s="278">
        <f t="shared" si="44"/>
        <v>66</v>
      </c>
      <c r="I217" s="292">
        <f t="shared" si="44"/>
        <v>12106.04</v>
      </c>
      <c r="J217" s="294">
        <f t="shared" si="45"/>
        <v>0.64784520784666166</v>
      </c>
      <c r="K217" s="387">
        <f t="shared" ref="K217" si="49">(G217*0.005)*J217</f>
        <v>25.404731549540557</v>
      </c>
      <c r="L217" s="388">
        <v>0.15</v>
      </c>
      <c r="M217" s="387"/>
      <c r="N217" s="288">
        <f t="shared" si="48"/>
        <v>25.404731549540557</v>
      </c>
    </row>
    <row r="218" spans="2:16" hidden="1" x14ac:dyDescent="0.25">
      <c r="B218" s="295"/>
      <c r="C218" s="278"/>
      <c r="D218" s="278"/>
      <c r="E218" s="303">
        <f>SUM(E213:E217)</f>
        <v>28239.920000000002</v>
      </c>
      <c r="F218" s="278"/>
      <c r="G218" s="303">
        <f>SUM(G213:G217)</f>
        <v>55300</v>
      </c>
      <c r="H218" s="278"/>
      <c r="I218" s="292"/>
      <c r="J218" s="294"/>
      <c r="M218" s="290" t="s">
        <v>463</v>
      </c>
      <c r="N218" s="395">
        <f>SUM(N213:N217)</f>
        <v>184.09126739247495</v>
      </c>
    </row>
    <row r="219" spans="2:16" ht="15.75" hidden="1" x14ac:dyDescent="0.25">
      <c r="B219" s="278"/>
      <c r="C219" s="290" t="s">
        <v>264</v>
      </c>
      <c r="D219" s="295" t="s">
        <v>265</v>
      </c>
      <c r="E219" s="295" t="s">
        <v>266</v>
      </c>
      <c r="F219" s="295" t="s">
        <v>265</v>
      </c>
      <c r="G219" s="295" t="s">
        <v>267</v>
      </c>
      <c r="H219" s="295" t="s">
        <v>268</v>
      </c>
      <c r="I219" s="295" t="s">
        <v>269</v>
      </c>
      <c r="J219" s="295" t="s">
        <v>270</v>
      </c>
      <c r="K219" s="386" t="s">
        <v>462</v>
      </c>
      <c r="L219" s="386" t="s">
        <v>458</v>
      </c>
      <c r="M219" s="386"/>
      <c r="N219" s="386" t="s">
        <v>459</v>
      </c>
      <c r="O219" s="386" t="s">
        <v>460</v>
      </c>
      <c r="P219" s="386" t="s">
        <v>461</v>
      </c>
    </row>
    <row r="220" spans="2:16" hidden="1" x14ac:dyDescent="0.25">
      <c r="B220" s="293"/>
      <c r="C220" s="278" t="s">
        <v>283</v>
      </c>
      <c r="D220" s="278">
        <v>30</v>
      </c>
      <c r="E220" s="288">
        <v>6644.18</v>
      </c>
      <c r="F220" s="278">
        <v>75</v>
      </c>
      <c r="G220" s="288">
        <v>9115.6299999999992</v>
      </c>
      <c r="H220" s="278">
        <f t="shared" ref="H220:I222" si="50">D220+F220</f>
        <v>105</v>
      </c>
      <c r="I220" s="292">
        <f t="shared" si="50"/>
        <v>15759.81</v>
      </c>
      <c r="J220" s="294">
        <f>G220/I220</f>
        <v>0.57840989199742887</v>
      </c>
      <c r="K220" s="387">
        <f>(G220*0.005)*J220</f>
        <v>26.36285281894261</v>
      </c>
      <c r="L220" s="388">
        <v>0.15</v>
      </c>
      <c r="M220" s="387"/>
      <c r="N220" s="288">
        <f>K220-M220</f>
        <v>26.36285281894261</v>
      </c>
      <c r="O220" s="264"/>
    </row>
    <row r="221" spans="2:16" hidden="1" x14ac:dyDescent="0.25">
      <c r="B221" s="295"/>
      <c r="C221" s="278" t="s">
        <v>284</v>
      </c>
      <c r="D221" s="278">
        <v>19</v>
      </c>
      <c r="E221" s="288">
        <v>4594.8500000000004</v>
      </c>
      <c r="F221" s="278">
        <v>72</v>
      </c>
      <c r="G221" s="288">
        <v>9909.49</v>
      </c>
      <c r="H221" s="278">
        <f t="shared" si="50"/>
        <v>91</v>
      </c>
      <c r="I221" s="292">
        <f t="shared" si="50"/>
        <v>14504.34</v>
      </c>
      <c r="J221" s="294">
        <f t="shared" ref="J221:J224" si="51">G221/I221</f>
        <v>0.68320861204301608</v>
      </c>
      <c r="K221" s="387">
        <f>(G221*0.005)*J221</f>
        <v>33.851244544770736</v>
      </c>
      <c r="L221" s="388">
        <v>0.15</v>
      </c>
      <c r="M221" s="387"/>
      <c r="N221" s="288">
        <f t="shared" ref="N221:N224" si="52">K221-M221</f>
        <v>33.851244544770736</v>
      </c>
    </row>
    <row r="222" spans="2:16" hidden="1" x14ac:dyDescent="0.25">
      <c r="B222" s="295" t="s">
        <v>272</v>
      </c>
      <c r="C222" s="278" t="s">
        <v>285</v>
      </c>
      <c r="D222" s="278">
        <v>21</v>
      </c>
      <c r="E222" s="288">
        <v>3722.31</v>
      </c>
      <c r="F222" s="278">
        <v>76</v>
      </c>
      <c r="G222" s="288">
        <v>8162.97</v>
      </c>
      <c r="H222" s="278">
        <f t="shared" si="50"/>
        <v>97</v>
      </c>
      <c r="I222" s="292">
        <f t="shared" si="50"/>
        <v>11885.28</v>
      </c>
      <c r="J222" s="294">
        <f t="shared" si="51"/>
        <v>0.68681343645248571</v>
      </c>
      <c r="K222" s="387">
        <f t="shared" ref="K222" si="53">(G222*0.005)*J222</f>
        <v>28.032187386792735</v>
      </c>
      <c r="L222" s="388">
        <v>0.15</v>
      </c>
      <c r="M222" s="387"/>
      <c r="N222" s="288">
        <f t="shared" si="52"/>
        <v>28.032187386792735</v>
      </c>
    </row>
    <row r="223" spans="2:16" hidden="1" x14ac:dyDescent="0.25">
      <c r="B223" s="295"/>
      <c r="C223" s="278" t="s">
        <v>286</v>
      </c>
      <c r="D223" s="278">
        <v>39</v>
      </c>
      <c r="E223" s="288">
        <v>6586.99</v>
      </c>
      <c r="F223" s="278">
        <v>94</v>
      </c>
      <c r="G223" s="288">
        <v>12230.6</v>
      </c>
      <c r="H223" s="278">
        <f t="shared" ref="H223:H224" si="54">D223+F223</f>
        <v>133</v>
      </c>
      <c r="I223" s="292">
        <f t="shared" ref="I223:I224" si="55">E223+G223</f>
        <v>18817.59</v>
      </c>
      <c r="J223" s="294">
        <f t="shared" si="51"/>
        <v>0.64995570633646504</v>
      </c>
      <c r="K223" s="387">
        <f>(G223*0.005)*J223</f>
        <v>39.746741309593851</v>
      </c>
      <c r="L223" s="388">
        <v>0.15</v>
      </c>
      <c r="M223" s="387"/>
      <c r="N223" s="288">
        <f t="shared" si="52"/>
        <v>39.746741309593851</v>
      </c>
    </row>
    <row r="224" spans="2:16" hidden="1" x14ac:dyDescent="0.25">
      <c r="B224" s="295"/>
      <c r="C224" s="278" t="s">
        <v>287</v>
      </c>
      <c r="D224" s="278">
        <v>19</v>
      </c>
      <c r="E224" s="288">
        <v>4594.8500000000004</v>
      </c>
      <c r="F224" s="278">
        <v>72</v>
      </c>
      <c r="G224" s="288">
        <v>9909.49</v>
      </c>
      <c r="H224" s="278">
        <f t="shared" si="54"/>
        <v>91</v>
      </c>
      <c r="I224" s="292">
        <f t="shared" si="55"/>
        <v>14504.34</v>
      </c>
      <c r="J224" s="294">
        <f t="shared" si="51"/>
        <v>0.68320861204301608</v>
      </c>
      <c r="K224" s="387">
        <f t="shared" ref="K224" si="56">(G224*0.005)*J224</f>
        <v>33.851244544770736</v>
      </c>
      <c r="L224" s="388">
        <v>0.15</v>
      </c>
      <c r="M224" s="387"/>
      <c r="N224" s="288">
        <f t="shared" si="52"/>
        <v>33.851244544770736</v>
      </c>
    </row>
    <row r="225" spans="2:16" hidden="1" x14ac:dyDescent="0.25">
      <c r="B225" s="295"/>
      <c r="C225" s="278"/>
      <c r="D225" s="278"/>
      <c r="E225" s="303">
        <f>SUM(E220:E224)</f>
        <v>26143.18</v>
      </c>
      <c r="F225" s="278"/>
      <c r="G225" s="303">
        <f>SUM(G220:G224)</f>
        <v>49328.18</v>
      </c>
      <c r="H225" s="278"/>
      <c r="I225" s="292"/>
      <c r="J225" s="289"/>
      <c r="M225" s="290" t="s">
        <v>463</v>
      </c>
      <c r="N225" s="395">
        <f>SUM(N220:N224)</f>
        <v>161.84427060487067</v>
      </c>
    </row>
    <row r="226" spans="2:16" ht="15.75" hidden="1" x14ac:dyDescent="0.25">
      <c r="C226" s="290" t="s">
        <v>264</v>
      </c>
      <c r="D226" s="295" t="s">
        <v>265</v>
      </c>
      <c r="E226" s="295" t="s">
        <v>266</v>
      </c>
      <c r="F226" s="295" t="s">
        <v>265</v>
      </c>
      <c r="G226" s="295" t="s">
        <v>267</v>
      </c>
      <c r="H226" s="295" t="s">
        <v>268</v>
      </c>
      <c r="I226" s="295" t="s">
        <v>269</v>
      </c>
      <c r="J226" s="295" t="s">
        <v>270</v>
      </c>
      <c r="K226" s="386" t="s">
        <v>462</v>
      </c>
      <c r="L226" s="386" t="s">
        <v>458</v>
      </c>
      <c r="M226" s="386"/>
      <c r="N226" s="386" t="s">
        <v>459</v>
      </c>
      <c r="O226" s="386" t="s">
        <v>460</v>
      </c>
      <c r="P226" s="386" t="s">
        <v>461</v>
      </c>
    </row>
    <row r="227" spans="2:16" hidden="1" x14ac:dyDescent="0.25">
      <c r="B227" s="295"/>
      <c r="C227" s="278" t="s">
        <v>283</v>
      </c>
      <c r="D227" s="278">
        <v>30</v>
      </c>
      <c r="E227" s="288">
        <v>8302.9500000000007</v>
      </c>
      <c r="F227" s="278">
        <v>125</v>
      </c>
      <c r="G227" s="288">
        <v>15768.05</v>
      </c>
      <c r="H227" s="278">
        <f t="shared" ref="H227:H231" si="57">D227+F227</f>
        <v>155</v>
      </c>
      <c r="I227" s="292">
        <f t="shared" ref="I227:I231" si="58">E227+G227</f>
        <v>24071</v>
      </c>
      <c r="J227" s="294">
        <f>G227/I227</f>
        <v>0.65506418511902287</v>
      </c>
      <c r="K227" s="387">
        <f>(G227*0.005)*J227</f>
        <v>51.645424120830043</v>
      </c>
      <c r="L227" s="388">
        <v>0.15</v>
      </c>
      <c r="M227" s="387"/>
      <c r="N227" s="288">
        <f>K227-M227</f>
        <v>51.645424120830043</v>
      </c>
      <c r="O227" s="264"/>
    </row>
    <row r="228" spans="2:16" hidden="1" x14ac:dyDescent="0.25">
      <c r="B228" s="295"/>
      <c r="C228" s="278" t="s">
        <v>284</v>
      </c>
      <c r="D228" s="278">
        <v>28</v>
      </c>
      <c r="E228" s="288">
        <v>5483.56</v>
      </c>
      <c r="F228" s="278">
        <v>65</v>
      </c>
      <c r="G228" s="288">
        <v>9130.09</v>
      </c>
      <c r="H228" s="278">
        <f t="shared" si="57"/>
        <v>93</v>
      </c>
      <c r="I228" s="292">
        <f t="shared" si="58"/>
        <v>14613.650000000001</v>
      </c>
      <c r="J228" s="294">
        <f t="shared" ref="J228:J231" si="59">G228/I228</f>
        <v>0.62476451810464873</v>
      </c>
      <c r="K228" s="387">
        <f>(G228*0.005)*J228</f>
        <v>28.520781395510362</v>
      </c>
      <c r="L228" s="388">
        <v>0.15</v>
      </c>
      <c r="M228" s="387"/>
      <c r="N228" s="288">
        <f t="shared" ref="N228:N231" si="60">K228-M228</f>
        <v>28.520781395510362</v>
      </c>
    </row>
    <row r="229" spans="2:16" hidden="1" x14ac:dyDescent="0.25">
      <c r="B229" s="295" t="s">
        <v>273</v>
      </c>
      <c r="C229" s="278" t="s">
        <v>285</v>
      </c>
      <c r="D229" s="278">
        <v>36</v>
      </c>
      <c r="E229" s="288">
        <v>7986.72</v>
      </c>
      <c r="F229" s="278">
        <v>98</v>
      </c>
      <c r="G229" s="288">
        <v>14479.63</v>
      </c>
      <c r="H229" s="278">
        <f t="shared" si="57"/>
        <v>134</v>
      </c>
      <c r="I229" s="292">
        <f t="shared" si="58"/>
        <v>22466.35</v>
      </c>
      <c r="J229" s="294">
        <f t="shared" si="59"/>
        <v>0.64450300115506076</v>
      </c>
      <c r="K229" s="387">
        <f t="shared" ref="K229" si="61">(G229*0.005)*J229</f>
        <v>46.660824953074261</v>
      </c>
      <c r="L229" s="388">
        <v>0.15</v>
      </c>
      <c r="M229" s="387"/>
      <c r="N229" s="288">
        <f t="shared" si="60"/>
        <v>46.660824953074261</v>
      </c>
    </row>
    <row r="230" spans="2:16" hidden="1" x14ac:dyDescent="0.25">
      <c r="B230" s="295"/>
      <c r="C230" s="278" t="s">
        <v>286</v>
      </c>
      <c r="D230" s="278">
        <v>32</v>
      </c>
      <c r="E230" s="288">
        <v>6810.59</v>
      </c>
      <c r="F230" s="278">
        <v>92</v>
      </c>
      <c r="G230" s="288">
        <v>12340.22</v>
      </c>
      <c r="H230" s="278">
        <f t="shared" si="57"/>
        <v>124</v>
      </c>
      <c r="I230" s="292">
        <f t="shared" si="58"/>
        <v>19150.809999999998</v>
      </c>
      <c r="J230" s="294">
        <f t="shared" si="59"/>
        <v>0.64437065586259801</v>
      </c>
      <c r="K230" s="387">
        <f>(G230*0.005)*J230</f>
        <v>39.758378274443743</v>
      </c>
      <c r="L230" s="388">
        <v>0.15</v>
      </c>
      <c r="M230" s="387"/>
      <c r="N230" s="288">
        <f t="shared" si="60"/>
        <v>39.758378274443743</v>
      </c>
    </row>
    <row r="231" spans="2:16" hidden="1" x14ac:dyDescent="0.25">
      <c r="B231" s="295"/>
      <c r="C231" s="278" t="s">
        <v>287</v>
      </c>
      <c r="D231" s="278">
        <v>12</v>
      </c>
      <c r="E231" s="288">
        <v>2877.52</v>
      </c>
      <c r="F231" s="278">
        <v>24</v>
      </c>
      <c r="G231" s="288">
        <v>2512.34</v>
      </c>
      <c r="H231" s="278">
        <f t="shared" si="57"/>
        <v>36</v>
      </c>
      <c r="I231" s="292">
        <f t="shared" si="58"/>
        <v>5389.8600000000006</v>
      </c>
      <c r="J231" s="294">
        <f t="shared" si="59"/>
        <v>0.46612342435610571</v>
      </c>
      <c r="K231" s="387">
        <f t="shared" ref="K231" si="62">(G231*0.005)*J231</f>
        <v>5.8553026197340943</v>
      </c>
      <c r="L231" s="388">
        <v>0.15</v>
      </c>
      <c r="M231" s="387"/>
      <c r="N231" s="288">
        <f t="shared" si="60"/>
        <v>5.8553026197340943</v>
      </c>
    </row>
    <row r="232" spans="2:16" hidden="1" x14ac:dyDescent="0.25">
      <c r="B232" s="295"/>
      <c r="C232" s="278"/>
      <c r="D232" s="278"/>
      <c r="E232" s="303">
        <f>SUM(E227:E231)</f>
        <v>31461.340000000004</v>
      </c>
      <c r="F232" s="278"/>
      <c r="G232" s="303">
        <f>SUM(G227:G231)</f>
        <v>54230.33</v>
      </c>
      <c r="H232" s="278"/>
      <c r="I232" s="292"/>
      <c r="J232" s="289"/>
      <c r="M232" s="290" t="s">
        <v>463</v>
      </c>
      <c r="N232" s="395">
        <f>SUM(N227:N231)</f>
        <v>172.4407113635925</v>
      </c>
    </row>
    <row r="233" spans="2:16" ht="15.75" hidden="1" x14ac:dyDescent="0.25">
      <c r="B233" s="278"/>
      <c r="C233" s="290" t="s">
        <v>264</v>
      </c>
      <c r="D233" s="295" t="s">
        <v>265</v>
      </c>
      <c r="E233" s="295" t="s">
        <v>266</v>
      </c>
      <c r="F233" s="295" t="s">
        <v>265</v>
      </c>
      <c r="G233" s="295" t="s">
        <v>267</v>
      </c>
      <c r="H233" s="295" t="s">
        <v>268</v>
      </c>
      <c r="I233" s="295" t="s">
        <v>269</v>
      </c>
      <c r="J233" s="295" t="s">
        <v>270</v>
      </c>
      <c r="K233" s="386" t="s">
        <v>462</v>
      </c>
      <c r="L233" s="386" t="s">
        <v>458</v>
      </c>
      <c r="M233" s="386"/>
      <c r="N233" s="386" t="s">
        <v>459</v>
      </c>
      <c r="O233" s="386" t="s">
        <v>460</v>
      </c>
      <c r="P233" s="386" t="s">
        <v>461</v>
      </c>
    </row>
    <row r="234" spans="2:16" hidden="1" x14ac:dyDescent="0.25">
      <c r="B234" s="293"/>
      <c r="C234" s="278" t="s">
        <v>283</v>
      </c>
      <c r="D234" s="278">
        <v>21</v>
      </c>
      <c r="E234" s="288">
        <v>4947.58</v>
      </c>
      <c r="F234" s="278">
        <v>47</v>
      </c>
      <c r="G234" s="288">
        <v>4943.09</v>
      </c>
      <c r="H234" s="278">
        <f t="shared" ref="H234:H237" si="63">D234+F234</f>
        <v>68</v>
      </c>
      <c r="I234" s="292">
        <f t="shared" ref="I234:I237" si="64">E234+G234</f>
        <v>9890.67</v>
      </c>
      <c r="J234" s="294">
        <f>G234/I234</f>
        <v>0.4997730184102796</v>
      </c>
      <c r="K234" s="387">
        <f>(G234*0.005)*J234</f>
        <v>12.352115047868345</v>
      </c>
      <c r="L234" s="388">
        <v>0.15</v>
      </c>
      <c r="M234" s="387"/>
      <c r="N234" s="288">
        <f>K234-M234</f>
        <v>12.352115047868345</v>
      </c>
      <c r="O234" s="264"/>
    </row>
    <row r="235" spans="2:16" hidden="1" x14ac:dyDescent="0.25">
      <c r="B235" s="295"/>
      <c r="C235" s="278" t="s">
        <v>284</v>
      </c>
      <c r="D235" s="278">
        <v>14</v>
      </c>
      <c r="E235" s="288">
        <v>2940.25</v>
      </c>
      <c r="F235" s="278">
        <v>62</v>
      </c>
      <c r="G235" s="288">
        <v>8180.34</v>
      </c>
      <c r="H235" s="278">
        <f t="shared" si="63"/>
        <v>76</v>
      </c>
      <c r="I235" s="292">
        <f t="shared" si="64"/>
        <v>11120.59</v>
      </c>
      <c r="J235" s="294">
        <f t="shared" ref="J235:J237" si="65">G235/I235</f>
        <v>0.73560305703204598</v>
      </c>
      <c r="K235" s="387">
        <f>(G235*0.005)*J235</f>
        <v>30.087415557807635</v>
      </c>
      <c r="L235" s="388">
        <v>0.15</v>
      </c>
      <c r="M235" s="387"/>
      <c r="N235" s="288">
        <f t="shared" ref="N235:N238" si="66">K235-M235</f>
        <v>30.087415557807635</v>
      </c>
    </row>
    <row r="236" spans="2:16" hidden="1" x14ac:dyDescent="0.25">
      <c r="B236" s="295" t="s">
        <v>274</v>
      </c>
      <c r="C236" s="278" t="s">
        <v>285</v>
      </c>
      <c r="D236" s="278">
        <v>24</v>
      </c>
      <c r="E236" s="288">
        <v>6541.19</v>
      </c>
      <c r="F236" s="278">
        <v>74</v>
      </c>
      <c r="G236" s="288">
        <v>10176.57</v>
      </c>
      <c r="H236" s="278">
        <f t="shared" si="63"/>
        <v>98</v>
      </c>
      <c r="I236" s="292">
        <f t="shared" si="64"/>
        <v>16717.759999999998</v>
      </c>
      <c r="J236" s="294">
        <f t="shared" si="65"/>
        <v>0.60872808318817839</v>
      </c>
      <c r="K236" s="387">
        <f t="shared" ref="K236" si="67">(G236*0.005)*J236</f>
        <v>30.9738197476516</v>
      </c>
      <c r="L236" s="388">
        <v>0.15</v>
      </c>
      <c r="M236" s="387"/>
      <c r="N236" s="288">
        <f t="shared" si="66"/>
        <v>30.9738197476516</v>
      </c>
    </row>
    <row r="237" spans="2:16" hidden="1" x14ac:dyDescent="0.25">
      <c r="B237" s="295"/>
      <c r="C237" s="278" t="s">
        <v>286</v>
      </c>
      <c r="D237" s="278">
        <v>45</v>
      </c>
      <c r="E237" s="288">
        <v>11150.9</v>
      </c>
      <c r="F237" s="278">
        <v>116</v>
      </c>
      <c r="G237" s="288">
        <v>12982.58</v>
      </c>
      <c r="H237" s="278">
        <f t="shared" si="63"/>
        <v>161</v>
      </c>
      <c r="I237" s="292">
        <f t="shared" si="64"/>
        <v>24133.48</v>
      </c>
      <c r="J237" s="294">
        <f t="shared" si="65"/>
        <v>0.53794894064179721</v>
      </c>
      <c r="K237" s="387">
        <f>(G237*0.005)*J237</f>
        <v>34.91982578898692</v>
      </c>
      <c r="L237" s="388">
        <v>0.15</v>
      </c>
      <c r="M237" s="387"/>
      <c r="N237" s="288">
        <f t="shared" si="66"/>
        <v>34.91982578898692</v>
      </c>
    </row>
    <row r="238" spans="2:16" hidden="1" x14ac:dyDescent="0.25">
      <c r="B238" s="295"/>
      <c r="C238" s="278"/>
      <c r="D238" s="278"/>
      <c r="E238" s="278"/>
      <c r="F238" s="278"/>
      <c r="G238" s="278"/>
      <c r="H238" s="278"/>
      <c r="I238" s="278"/>
      <c r="J238" s="278"/>
      <c r="K238" s="387">
        <f t="shared" ref="K238" si="68">(G238*0.005)*J238</f>
        <v>0</v>
      </c>
      <c r="L238" s="388">
        <v>0.15</v>
      </c>
      <c r="M238" s="387"/>
      <c r="N238" s="288">
        <f t="shared" si="66"/>
        <v>0</v>
      </c>
    </row>
    <row r="239" spans="2:16" hidden="1" x14ac:dyDescent="0.25">
      <c r="B239" s="295"/>
      <c r="C239" s="278"/>
      <c r="D239" s="278"/>
      <c r="E239" s="303">
        <f>SUM(E234:E238)</f>
        <v>25579.919999999998</v>
      </c>
      <c r="F239" s="278"/>
      <c r="G239" s="303">
        <f>SUM(G234:G238)</f>
        <v>36282.58</v>
      </c>
      <c r="H239" s="278"/>
      <c r="I239" s="292"/>
      <c r="J239" s="294"/>
      <c r="K239" s="264"/>
      <c r="M239" s="290" t="s">
        <v>463</v>
      </c>
      <c r="N239" s="395">
        <f>SUM(N234:N238)</f>
        <v>108.3331761423145</v>
      </c>
    </row>
    <row r="240" spans="2:16" ht="15.75" hidden="1" x14ac:dyDescent="0.25">
      <c r="C240" s="290" t="s">
        <v>264</v>
      </c>
      <c r="D240" s="295" t="s">
        <v>265</v>
      </c>
      <c r="E240" s="295" t="s">
        <v>266</v>
      </c>
      <c r="F240" s="295" t="s">
        <v>265</v>
      </c>
      <c r="G240" s="295" t="s">
        <v>267</v>
      </c>
      <c r="H240" s="295" t="s">
        <v>268</v>
      </c>
      <c r="I240" s="295" t="s">
        <v>269</v>
      </c>
      <c r="J240" s="295" t="s">
        <v>270</v>
      </c>
      <c r="K240" s="386" t="s">
        <v>462</v>
      </c>
      <c r="L240" s="386" t="s">
        <v>458</v>
      </c>
      <c r="M240" s="386"/>
      <c r="N240" s="386" t="s">
        <v>459</v>
      </c>
      <c r="O240" s="386" t="s">
        <v>460</v>
      </c>
      <c r="P240" s="386" t="s">
        <v>461</v>
      </c>
    </row>
    <row r="241" spans="2:16" hidden="1" x14ac:dyDescent="0.25">
      <c r="B241" s="295"/>
      <c r="C241" s="278" t="s">
        <v>324</v>
      </c>
      <c r="D241" s="278"/>
      <c r="E241" s="278"/>
      <c r="F241" s="278">
        <v>2</v>
      </c>
      <c r="G241" s="288">
        <v>267.58</v>
      </c>
      <c r="H241" s="278">
        <f t="shared" ref="H241:H245" si="69">D241+F241</f>
        <v>2</v>
      </c>
      <c r="I241" s="292">
        <f t="shared" ref="I241:I245" si="70">E241+G241</f>
        <v>267.58</v>
      </c>
      <c r="J241" s="294">
        <f>G241/I241</f>
        <v>1</v>
      </c>
      <c r="K241" s="387">
        <f>(G241*0.005)*J241</f>
        <v>1.3378999999999999</v>
      </c>
      <c r="L241" s="388">
        <v>0.15</v>
      </c>
      <c r="M241" s="387"/>
      <c r="N241" s="288">
        <f>K241-M241</f>
        <v>1.3378999999999999</v>
      </c>
      <c r="O241" s="264"/>
    </row>
    <row r="242" spans="2:16" hidden="1" x14ac:dyDescent="0.25">
      <c r="B242" s="295"/>
      <c r="C242" s="278" t="s">
        <v>284</v>
      </c>
      <c r="D242" s="278">
        <v>52</v>
      </c>
      <c r="E242" s="288">
        <v>14103.25</v>
      </c>
      <c r="F242" s="278">
        <v>129</v>
      </c>
      <c r="G242" s="288">
        <v>17340.03</v>
      </c>
      <c r="H242" s="278">
        <f t="shared" si="69"/>
        <v>181</v>
      </c>
      <c r="I242" s="292">
        <f t="shared" si="70"/>
        <v>31443.279999999999</v>
      </c>
      <c r="J242" s="294">
        <f t="shared" ref="J242:J245" si="71">G242/I242</f>
        <v>0.55147013924755939</v>
      </c>
      <c r="K242" s="387">
        <f>(G242*0.005)*J242</f>
        <v>47.812543793284284</v>
      </c>
      <c r="L242" s="388">
        <v>0.15</v>
      </c>
      <c r="M242" s="387"/>
      <c r="N242" s="288">
        <f t="shared" ref="N242:N245" si="72">K242-M242</f>
        <v>47.812543793284284</v>
      </c>
    </row>
    <row r="243" spans="2:16" hidden="1" x14ac:dyDescent="0.25">
      <c r="B243" s="295" t="s">
        <v>275</v>
      </c>
      <c r="C243" s="278" t="s">
        <v>285</v>
      </c>
      <c r="D243" s="278">
        <v>14</v>
      </c>
      <c r="E243" s="288">
        <v>3214.67</v>
      </c>
      <c r="F243" s="278">
        <v>78</v>
      </c>
      <c r="G243" s="288">
        <v>17206.41</v>
      </c>
      <c r="H243" s="278">
        <f t="shared" si="69"/>
        <v>92</v>
      </c>
      <c r="I243" s="292">
        <f t="shared" si="70"/>
        <v>20421.080000000002</v>
      </c>
      <c r="J243" s="294">
        <f t="shared" si="71"/>
        <v>0.84258080375768563</v>
      </c>
      <c r="K243" s="387">
        <f t="shared" ref="K243" si="73">(G243*0.005)*J243</f>
        <v>72.4889538379214</v>
      </c>
      <c r="L243" s="388">
        <v>0.15</v>
      </c>
      <c r="M243" s="387"/>
      <c r="N243" s="288">
        <f t="shared" si="72"/>
        <v>72.4889538379214</v>
      </c>
    </row>
    <row r="244" spans="2:16" hidden="1" x14ac:dyDescent="0.25">
      <c r="B244" s="295"/>
      <c r="C244" s="278" t="s">
        <v>286</v>
      </c>
      <c r="D244" s="278">
        <v>52</v>
      </c>
      <c r="E244" s="288">
        <v>9069.67</v>
      </c>
      <c r="F244" s="278">
        <v>101</v>
      </c>
      <c r="G244" s="288">
        <v>13203.37</v>
      </c>
      <c r="H244" s="278">
        <f t="shared" si="69"/>
        <v>153</v>
      </c>
      <c r="I244" s="292">
        <f t="shared" si="70"/>
        <v>22273.040000000001</v>
      </c>
      <c r="J244" s="294">
        <f t="shared" si="71"/>
        <v>0.59279604400656583</v>
      </c>
      <c r="K244" s="387">
        <f>(G244*0.005)*J244</f>
        <v>39.134527517774856</v>
      </c>
      <c r="L244" s="388">
        <v>0.15</v>
      </c>
      <c r="M244" s="387"/>
      <c r="N244" s="288">
        <f t="shared" si="72"/>
        <v>39.134527517774856</v>
      </c>
    </row>
    <row r="245" spans="2:16" hidden="1" x14ac:dyDescent="0.25">
      <c r="B245" s="295"/>
      <c r="C245" s="278" t="s">
        <v>323</v>
      </c>
      <c r="D245" s="278">
        <v>18</v>
      </c>
      <c r="E245" s="288">
        <v>9478.1299999999992</v>
      </c>
      <c r="F245" s="278">
        <v>39</v>
      </c>
      <c r="G245" s="288">
        <v>7140.81</v>
      </c>
      <c r="H245" s="278">
        <f t="shared" si="69"/>
        <v>57</v>
      </c>
      <c r="I245" s="292">
        <f t="shared" si="70"/>
        <v>16618.939999999999</v>
      </c>
      <c r="J245" s="245">
        <f t="shared" si="71"/>
        <v>0.42967902886706377</v>
      </c>
      <c r="K245" s="387">
        <f t="shared" ref="K245" si="74">(G245*0.005)*J245</f>
        <v>15.341281530621089</v>
      </c>
      <c r="L245" s="388">
        <v>0.15</v>
      </c>
      <c r="M245" s="387"/>
      <c r="N245" s="288">
        <f t="shared" si="72"/>
        <v>15.341281530621089</v>
      </c>
    </row>
    <row r="246" spans="2:16" hidden="1" x14ac:dyDescent="0.25">
      <c r="B246" s="295"/>
      <c r="C246" s="278" t="s">
        <v>325</v>
      </c>
      <c r="D246" s="278">
        <v>11</v>
      </c>
      <c r="E246" s="288">
        <v>2322.9699999999998</v>
      </c>
      <c r="F246" s="278">
        <v>17</v>
      </c>
      <c r="G246" s="288">
        <v>1564.14</v>
      </c>
      <c r="H246" s="278">
        <f t="shared" ref="H246" si="75">D246+F246</f>
        <v>28</v>
      </c>
      <c r="I246" s="292">
        <f t="shared" ref="I246" si="76">E246+G246</f>
        <v>3887.1099999999997</v>
      </c>
      <c r="J246" s="245">
        <f t="shared" ref="J246" si="77">G246/I246</f>
        <v>0.40239149393765555</v>
      </c>
    </row>
    <row r="247" spans="2:16" hidden="1" x14ac:dyDescent="0.25">
      <c r="B247" s="295"/>
      <c r="C247" s="278"/>
      <c r="D247" s="278"/>
      <c r="E247" s="278"/>
      <c r="F247" s="278"/>
      <c r="G247" s="278"/>
      <c r="H247" s="278"/>
      <c r="I247" s="278"/>
      <c r="J247" s="278"/>
    </row>
    <row r="248" spans="2:16" hidden="1" x14ac:dyDescent="0.25">
      <c r="B248" s="295"/>
      <c r="C248" s="278"/>
      <c r="D248" s="278"/>
      <c r="E248" s="278"/>
      <c r="F248" s="278"/>
      <c r="G248" s="278"/>
      <c r="H248" s="278"/>
      <c r="I248" s="278"/>
      <c r="J248" s="278"/>
      <c r="M248" s="290" t="s">
        <v>463</v>
      </c>
      <c r="N248" s="395">
        <f>SUM(N241:N247)</f>
        <v>176.11520667960161</v>
      </c>
    </row>
    <row r="249" spans="2:16" hidden="1" x14ac:dyDescent="0.25">
      <c r="B249" s="295"/>
      <c r="C249" s="278"/>
      <c r="D249" s="278"/>
      <c r="E249" s="278"/>
      <c r="F249" s="278"/>
      <c r="G249" s="278"/>
      <c r="H249" s="278"/>
      <c r="I249" s="278"/>
      <c r="J249" s="278"/>
    </row>
    <row r="250" spans="2:16" hidden="1" x14ac:dyDescent="0.25">
      <c r="B250" s="295"/>
      <c r="C250" s="278"/>
      <c r="D250" s="278"/>
      <c r="E250" s="303">
        <f>SUM(E241:E245)</f>
        <v>35865.719999999994</v>
      </c>
      <c r="F250" s="278"/>
      <c r="G250" s="303">
        <f>SUM(G241:G245)</f>
        <v>55158.200000000004</v>
      </c>
      <c r="H250" s="278"/>
      <c r="I250" s="292"/>
      <c r="J250" s="294"/>
    </row>
    <row r="251" spans="2:16" ht="15.75" hidden="1" x14ac:dyDescent="0.25">
      <c r="B251" s="278"/>
      <c r="C251" s="313" t="s">
        <v>264</v>
      </c>
      <c r="D251" s="314" t="s">
        <v>265</v>
      </c>
      <c r="E251" s="314" t="s">
        <v>266</v>
      </c>
      <c r="F251" s="314" t="s">
        <v>265</v>
      </c>
      <c r="G251" s="314" t="s">
        <v>267</v>
      </c>
      <c r="H251" s="314" t="s">
        <v>268</v>
      </c>
      <c r="I251" s="314" t="s">
        <v>269</v>
      </c>
      <c r="J251" s="314" t="s">
        <v>270</v>
      </c>
      <c r="K251" s="386" t="s">
        <v>462</v>
      </c>
      <c r="L251" s="386" t="s">
        <v>458</v>
      </c>
      <c r="M251" s="386"/>
      <c r="N251" s="386" t="s">
        <v>459</v>
      </c>
      <c r="O251" s="386" t="s">
        <v>460</v>
      </c>
      <c r="P251" s="386" t="s">
        <v>461</v>
      </c>
    </row>
    <row r="252" spans="2:16" hidden="1" x14ac:dyDescent="0.25">
      <c r="B252" s="293"/>
      <c r="C252" s="278" t="s">
        <v>324</v>
      </c>
      <c r="D252" s="278">
        <v>19</v>
      </c>
      <c r="E252" s="316">
        <v>5941.6</v>
      </c>
      <c r="F252" s="278">
        <v>40</v>
      </c>
      <c r="G252" s="288">
        <v>4575.28</v>
      </c>
      <c r="H252" s="278">
        <f t="shared" ref="H252:H257" si="78">D252+F252</f>
        <v>59</v>
      </c>
      <c r="I252" s="292">
        <f t="shared" ref="I252:I257" si="79">E252+G252</f>
        <v>10516.880000000001</v>
      </c>
      <c r="J252" s="294">
        <f>G252/I252</f>
        <v>0.4350415712644814</v>
      </c>
      <c r="K252" s="387">
        <f>(G252*0.005)*J252</f>
        <v>9.952185000874783</v>
      </c>
      <c r="L252" s="388">
        <v>0.15</v>
      </c>
      <c r="M252" s="387"/>
      <c r="N252" s="288">
        <f>K252-M252</f>
        <v>9.952185000874783</v>
      </c>
      <c r="O252" s="264"/>
    </row>
    <row r="253" spans="2:16" hidden="1" x14ac:dyDescent="0.25">
      <c r="B253" s="295"/>
      <c r="C253" s="278" t="s">
        <v>284</v>
      </c>
      <c r="D253" s="278">
        <v>26</v>
      </c>
      <c r="E253" s="288">
        <v>5727.7</v>
      </c>
      <c r="F253" s="278">
        <v>49</v>
      </c>
      <c r="G253" s="288">
        <v>7222.28</v>
      </c>
      <c r="H253" s="278">
        <f t="shared" si="78"/>
        <v>75</v>
      </c>
      <c r="I253" s="292">
        <f t="shared" si="79"/>
        <v>12949.98</v>
      </c>
      <c r="J253" s="294">
        <f t="shared" ref="J253:J257" si="80">G253/I253</f>
        <v>0.55770588062684268</v>
      </c>
      <c r="K253" s="387">
        <f>(G253*0.005)*J253</f>
        <v>20.139540137668163</v>
      </c>
      <c r="L253" s="388">
        <v>0.15</v>
      </c>
      <c r="M253" s="387"/>
      <c r="N253" s="288">
        <f t="shared" ref="N253:N256" si="81">K253-M253</f>
        <v>20.139540137668163</v>
      </c>
    </row>
    <row r="254" spans="2:16" hidden="1" x14ac:dyDescent="0.25">
      <c r="B254" s="295"/>
      <c r="C254" s="278" t="s">
        <v>285</v>
      </c>
      <c r="D254" s="278">
        <v>9</v>
      </c>
      <c r="E254" s="288">
        <v>2205.61</v>
      </c>
      <c r="F254" s="278">
        <v>10</v>
      </c>
      <c r="G254" s="288">
        <v>1466.75</v>
      </c>
      <c r="H254" s="278">
        <f t="shared" si="78"/>
        <v>19</v>
      </c>
      <c r="I254" s="292">
        <f t="shared" si="79"/>
        <v>3672.36</v>
      </c>
      <c r="J254" s="294">
        <f t="shared" si="80"/>
        <v>0.39940256401877811</v>
      </c>
      <c r="K254" s="387">
        <f t="shared" ref="K254" si="82">(G254*0.005)*J254</f>
        <v>2.9291185538727138</v>
      </c>
      <c r="L254" s="388">
        <v>0.15</v>
      </c>
      <c r="M254" s="387"/>
      <c r="N254" s="288">
        <f t="shared" si="81"/>
        <v>2.9291185538727138</v>
      </c>
    </row>
    <row r="255" spans="2:16" hidden="1" x14ac:dyDescent="0.25">
      <c r="B255" s="295"/>
      <c r="C255" s="278" t="s">
        <v>286</v>
      </c>
      <c r="D255" s="278">
        <v>38</v>
      </c>
      <c r="E255" s="288">
        <v>7165.92</v>
      </c>
      <c r="F255" s="278">
        <v>104</v>
      </c>
      <c r="G255" s="288">
        <v>12511.16</v>
      </c>
      <c r="H255" s="278">
        <f t="shared" si="78"/>
        <v>142</v>
      </c>
      <c r="I255" s="292">
        <f t="shared" si="79"/>
        <v>19677.080000000002</v>
      </c>
      <c r="J255" s="294">
        <f t="shared" si="80"/>
        <v>0.63582401453874249</v>
      </c>
      <c r="K255" s="387">
        <f>(G255*0.005)*J255</f>
        <v>39.774479888682663</v>
      </c>
      <c r="L255" s="388">
        <v>0.15</v>
      </c>
      <c r="M255" s="387"/>
      <c r="N255" s="288">
        <f t="shared" si="81"/>
        <v>39.774479888682663</v>
      </c>
    </row>
    <row r="256" spans="2:16" hidden="1" x14ac:dyDescent="0.25">
      <c r="B256" s="295"/>
      <c r="C256" s="278" t="s">
        <v>323</v>
      </c>
      <c r="D256" s="278">
        <v>14</v>
      </c>
      <c r="E256" s="288">
        <v>3699.92</v>
      </c>
      <c r="F256" s="278">
        <v>28</v>
      </c>
      <c r="G256" s="288">
        <v>5584.91</v>
      </c>
      <c r="H256" s="278">
        <f t="shared" si="78"/>
        <v>42</v>
      </c>
      <c r="I256" s="292">
        <f t="shared" si="79"/>
        <v>9284.83</v>
      </c>
      <c r="J256" s="245">
        <f t="shared" si="80"/>
        <v>0.60150912833083647</v>
      </c>
      <c r="K256" s="387">
        <f t="shared" ref="K256" si="83">(G256*0.005)*J256</f>
        <v>16.79687172953086</v>
      </c>
      <c r="L256" s="388">
        <v>0.15</v>
      </c>
      <c r="M256" s="387"/>
      <c r="N256" s="288">
        <f t="shared" si="81"/>
        <v>16.79687172953086</v>
      </c>
    </row>
    <row r="257" spans="2:16" hidden="1" x14ac:dyDescent="0.25">
      <c r="B257" s="295"/>
      <c r="C257" s="278" t="s">
        <v>325</v>
      </c>
      <c r="D257" s="278">
        <v>31</v>
      </c>
      <c r="E257" s="288">
        <v>8191.3</v>
      </c>
      <c r="F257" s="278">
        <v>81</v>
      </c>
      <c r="G257" s="288">
        <v>13860.33</v>
      </c>
      <c r="H257" s="278">
        <f t="shared" si="78"/>
        <v>112</v>
      </c>
      <c r="I257" s="292">
        <f t="shared" si="79"/>
        <v>22051.63</v>
      </c>
      <c r="J257" s="245">
        <f t="shared" si="80"/>
        <v>0.62853993106178541</v>
      </c>
      <c r="K257" s="387">
        <f t="shared" ref="K257" si="84">(G257*0.005)*J257</f>
        <v>43.558854313467975</v>
      </c>
      <c r="L257" s="388">
        <v>0.15</v>
      </c>
      <c r="M257" s="387"/>
      <c r="N257" s="288">
        <f t="shared" ref="N257" si="85">K257-M257</f>
        <v>43.558854313467975</v>
      </c>
    </row>
    <row r="258" spans="2:16" hidden="1" x14ac:dyDescent="0.25">
      <c r="B258" s="295"/>
      <c r="C258" s="278"/>
      <c r="D258" s="278"/>
      <c r="E258" s="278"/>
      <c r="F258" s="278"/>
      <c r="G258" s="278"/>
      <c r="H258" s="278"/>
      <c r="I258" s="278"/>
      <c r="J258" s="278"/>
      <c r="K258" s="292"/>
      <c r="L258" s="294"/>
    </row>
    <row r="259" spans="2:16" hidden="1" x14ac:dyDescent="0.25">
      <c r="B259" s="295"/>
      <c r="C259" s="278"/>
      <c r="D259" s="278"/>
      <c r="E259" s="278"/>
      <c r="F259" s="278"/>
      <c r="G259" s="278"/>
      <c r="H259" s="278"/>
      <c r="I259" s="278"/>
      <c r="J259" s="278"/>
      <c r="K259" s="292"/>
      <c r="L259" s="294"/>
    </row>
    <row r="260" spans="2:16" hidden="1" x14ac:dyDescent="0.25">
      <c r="B260" s="295"/>
      <c r="C260" s="278"/>
      <c r="D260" s="278"/>
      <c r="E260" s="278"/>
      <c r="F260" s="278"/>
      <c r="G260" s="278"/>
      <c r="H260" s="278"/>
      <c r="I260" s="278"/>
      <c r="J260" s="278"/>
      <c r="K260" s="292"/>
      <c r="L260" s="294"/>
      <c r="M260" s="290" t="s">
        <v>463</v>
      </c>
      <c r="N260" s="395">
        <f>SUM(N252:N259)</f>
        <v>133.15104962409717</v>
      </c>
    </row>
    <row r="261" spans="2:16" hidden="1" x14ac:dyDescent="0.25">
      <c r="B261" s="295" t="s">
        <v>276</v>
      </c>
      <c r="C261" s="278"/>
      <c r="D261" s="278"/>
      <c r="E261" s="303">
        <f>SUM(E252:E256)</f>
        <v>24740.75</v>
      </c>
      <c r="F261" s="278"/>
      <c r="G261" s="303">
        <f>SUM(G252:G256)</f>
        <v>31360.38</v>
      </c>
      <c r="H261" s="278"/>
      <c r="I261" s="292"/>
      <c r="J261" s="294"/>
      <c r="K261" s="292"/>
      <c r="L261" s="294"/>
    </row>
    <row r="262" spans="2:16" hidden="1" x14ac:dyDescent="0.25">
      <c r="B262" s="295"/>
      <c r="C262" s="278"/>
      <c r="D262" s="278"/>
      <c r="E262" s="278"/>
      <c r="F262" s="278"/>
      <c r="G262" s="278"/>
      <c r="H262" s="278"/>
      <c r="I262" s="278"/>
      <c r="J262" s="278"/>
      <c r="K262" s="278"/>
      <c r="L262" s="278"/>
    </row>
    <row r="263" spans="2:16" ht="15.75" hidden="1" x14ac:dyDescent="0.25">
      <c r="C263" s="313" t="s">
        <v>264</v>
      </c>
      <c r="D263" s="314" t="s">
        <v>265</v>
      </c>
      <c r="E263" s="314" t="s">
        <v>266</v>
      </c>
      <c r="F263" s="314" t="s">
        <v>265</v>
      </c>
      <c r="G263" s="314" t="s">
        <v>267</v>
      </c>
      <c r="H263" s="314" t="s">
        <v>268</v>
      </c>
      <c r="I263" s="314" t="s">
        <v>269</v>
      </c>
      <c r="J263" s="314" t="s">
        <v>270</v>
      </c>
      <c r="K263" s="386" t="s">
        <v>462</v>
      </c>
      <c r="L263" s="386" t="s">
        <v>458</v>
      </c>
      <c r="M263" s="386"/>
      <c r="N263" s="386" t="s">
        <v>459</v>
      </c>
      <c r="O263" s="386" t="s">
        <v>460</v>
      </c>
      <c r="P263" s="386" t="s">
        <v>461</v>
      </c>
    </row>
    <row r="264" spans="2:16" hidden="1" x14ac:dyDescent="0.25">
      <c r="B264" s="295"/>
      <c r="C264" s="278" t="s">
        <v>324</v>
      </c>
      <c r="D264" s="278">
        <v>34</v>
      </c>
      <c r="E264" s="316">
        <v>6761.87</v>
      </c>
      <c r="F264" s="278">
        <v>116</v>
      </c>
      <c r="G264" s="288">
        <v>19100.98</v>
      </c>
      <c r="H264" s="278">
        <f t="shared" ref="H264:H269" si="86">D264+F264</f>
        <v>150</v>
      </c>
      <c r="I264" s="292">
        <f t="shared" ref="I264:I269" si="87">E264+G264</f>
        <v>25862.85</v>
      </c>
      <c r="J264" s="294">
        <f>G264/I264</f>
        <v>0.73854892248920756</v>
      </c>
      <c r="K264" s="387">
        <f>(G264*0.005)*J264</f>
        <v>70.53504098743953</v>
      </c>
      <c r="L264" s="388">
        <v>0.15</v>
      </c>
      <c r="M264" s="387"/>
      <c r="N264" s="288">
        <f>K264-M264</f>
        <v>70.53504098743953</v>
      </c>
      <c r="O264" s="264"/>
    </row>
    <row r="265" spans="2:16" hidden="1" x14ac:dyDescent="0.25">
      <c r="B265" s="295"/>
      <c r="C265" s="278" t="s">
        <v>284</v>
      </c>
      <c r="D265" s="278">
        <v>13</v>
      </c>
      <c r="E265" s="288">
        <v>2142.04</v>
      </c>
      <c r="F265" s="278">
        <v>27</v>
      </c>
      <c r="G265" s="288">
        <v>3760.57</v>
      </c>
      <c r="H265" s="278">
        <f t="shared" si="86"/>
        <v>40</v>
      </c>
      <c r="I265" s="292">
        <f t="shared" si="87"/>
        <v>5902.6100000000006</v>
      </c>
      <c r="J265" s="294">
        <f t="shared" ref="J265:J269" si="88">G265/I265</f>
        <v>0.63710290871326414</v>
      </c>
      <c r="K265" s="387">
        <f>(G265*0.005)*J265</f>
        <v>11.979350427099201</v>
      </c>
      <c r="L265" s="388">
        <v>0.15</v>
      </c>
      <c r="M265" s="387"/>
      <c r="N265" s="288">
        <f t="shared" ref="N265:N269" si="89">K265-M265</f>
        <v>11.979350427099201</v>
      </c>
    </row>
    <row r="266" spans="2:16" hidden="1" x14ac:dyDescent="0.25">
      <c r="B266" s="295"/>
      <c r="C266" s="278" t="s">
        <v>285</v>
      </c>
      <c r="D266" s="278">
        <v>6</v>
      </c>
      <c r="E266" s="288">
        <v>2806.36</v>
      </c>
      <c r="F266" s="278">
        <v>30</v>
      </c>
      <c r="G266" s="288">
        <v>5567.46</v>
      </c>
      <c r="H266" s="278">
        <f t="shared" si="86"/>
        <v>36</v>
      </c>
      <c r="I266" s="292">
        <f t="shared" si="87"/>
        <v>8373.82</v>
      </c>
      <c r="J266" s="294">
        <f t="shared" si="88"/>
        <v>0.66486501978786272</v>
      </c>
      <c r="K266" s="387">
        <f t="shared" ref="K266" si="90">(G266*0.005)*J266</f>
        <v>18.508047015340669</v>
      </c>
      <c r="L266" s="388">
        <v>0.15</v>
      </c>
      <c r="M266" s="387"/>
      <c r="N266" s="288">
        <f t="shared" si="89"/>
        <v>18.508047015340669</v>
      </c>
    </row>
    <row r="267" spans="2:16" hidden="1" x14ac:dyDescent="0.25">
      <c r="B267" s="295"/>
      <c r="C267" s="278" t="s">
        <v>286</v>
      </c>
      <c r="D267" s="278">
        <v>34</v>
      </c>
      <c r="E267" s="288">
        <v>7898.35</v>
      </c>
      <c r="F267" s="278">
        <v>117</v>
      </c>
      <c r="G267" s="288">
        <v>14615.91</v>
      </c>
      <c r="H267" s="278">
        <f t="shared" si="86"/>
        <v>151</v>
      </c>
      <c r="I267" s="292">
        <f t="shared" si="87"/>
        <v>22514.260000000002</v>
      </c>
      <c r="J267" s="294">
        <f t="shared" si="88"/>
        <v>0.64918456125140234</v>
      </c>
      <c r="K267" s="387">
        <f>(G267*0.005)*J267</f>
        <v>47.442115603199916</v>
      </c>
      <c r="L267" s="388">
        <v>0.15</v>
      </c>
      <c r="M267" s="387"/>
      <c r="N267" s="288">
        <f t="shared" si="89"/>
        <v>47.442115603199916</v>
      </c>
    </row>
    <row r="268" spans="2:16" hidden="1" x14ac:dyDescent="0.25">
      <c r="B268" s="295"/>
      <c r="C268" s="278" t="s">
        <v>323</v>
      </c>
      <c r="D268" s="278">
        <v>20</v>
      </c>
      <c r="E268" s="288">
        <v>11396.96</v>
      </c>
      <c r="F268" s="278">
        <v>28</v>
      </c>
      <c r="G268" s="288">
        <v>8006.78</v>
      </c>
      <c r="H268" s="278">
        <f t="shared" si="86"/>
        <v>48</v>
      </c>
      <c r="I268" s="292">
        <f t="shared" si="87"/>
        <v>19403.739999999998</v>
      </c>
      <c r="J268" s="245">
        <f t="shared" si="88"/>
        <v>0.4126410681652094</v>
      </c>
      <c r="K268" s="387">
        <f t="shared" ref="K268:K269" si="91">(G268*0.005)*J268</f>
        <v>16.519631258819178</v>
      </c>
      <c r="L268" s="388">
        <v>0.15</v>
      </c>
      <c r="M268" s="387"/>
      <c r="N268" s="288">
        <f t="shared" si="89"/>
        <v>16.519631258819178</v>
      </c>
    </row>
    <row r="269" spans="2:16" hidden="1" x14ac:dyDescent="0.25">
      <c r="B269" s="295"/>
      <c r="C269" s="278" t="s">
        <v>325</v>
      </c>
      <c r="D269" s="278">
        <v>20</v>
      </c>
      <c r="E269" s="288">
        <v>4947.1400000000003</v>
      </c>
      <c r="F269" s="278">
        <v>76</v>
      </c>
      <c r="G269" s="288">
        <v>12202.58</v>
      </c>
      <c r="H269" s="278">
        <f t="shared" si="86"/>
        <v>96</v>
      </c>
      <c r="I269" s="292">
        <f t="shared" si="87"/>
        <v>17149.72</v>
      </c>
      <c r="J269" s="245">
        <f t="shared" si="88"/>
        <v>0.71153231656260274</v>
      </c>
      <c r="K269" s="387">
        <f t="shared" si="91"/>
        <v>43.412650077202429</v>
      </c>
      <c r="L269" s="388">
        <v>0.15</v>
      </c>
      <c r="M269" s="387"/>
      <c r="N269" s="288">
        <f t="shared" si="89"/>
        <v>43.412650077202429</v>
      </c>
    </row>
    <row r="270" spans="2:16" hidden="1" x14ac:dyDescent="0.25">
      <c r="B270" s="295"/>
      <c r="C270" s="278"/>
      <c r="D270" s="278"/>
      <c r="E270" s="278"/>
      <c r="F270" s="278"/>
      <c r="G270" s="278"/>
      <c r="H270" s="278"/>
      <c r="I270" s="278"/>
      <c r="J270" s="278"/>
      <c r="K270" s="292"/>
      <c r="L270" s="294"/>
      <c r="M270" s="278"/>
      <c r="N270" s="292"/>
      <c r="O270" s="294"/>
    </row>
    <row r="271" spans="2:16" hidden="1" x14ac:dyDescent="0.25">
      <c r="B271" s="295"/>
      <c r="C271" s="278"/>
      <c r="D271" s="278"/>
      <c r="E271" s="278"/>
      <c r="F271" s="278"/>
      <c r="G271" s="278"/>
      <c r="H271" s="278"/>
      <c r="I271" s="278"/>
      <c r="J271" s="278"/>
      <c r="K271" s="292"/>
      <c r="L271" s="294"/>
      <c r="M271" s="278"/>
      <c r="N271" s="292"/>
      <c r="O271" s="294"/>
    </row>
    <row r="272" spans="2:16" hidden="1" x14ac:dyDescent="0.25">
      <c r="B272" s="295" t="s">
        <v>277</v>
      </c>
      <c r="C272" s="278"/>
      <c r="D272" s="278"/>
      <c r="E272" s="278"/>
      <c r="F272" s="278"/>
      <c r="G272" s="278"/>
      <c r="H272" s="278"/>
      <c r="I272" s="278"/>
      <c r="J272" s="278"/>
      <c r="K272" s="292"/>
      <c r="L272" s="294"/>
      <c r="M272" s="290" t="s">
        <v>463</v>
      </c>
      <c r="N272" s="395">
        <f>SUM(N264:N271)</f>
        <v>208.39683536910093</v>
      </c>
      <c r="O272" s="294"/>
    </row>
    <row r="273" spans="2:16" hidden="1" x14ac:dyDescent="0.25">
      <c r="B273" s="295"/>
      <c r="C273" s="278"/>
      <c r="D273" s="278"/>
      <c r="E273" s="303">
        <f>SUM(E264:E268)</f>
        <v>31005.58</v>
      </c>
      <c r="F273" s="278"/>
      <c r="G273" s="303">
        <f>SUM(G264:G268)</f>
        <v>51051.7</v>
      </c>
      <c r="H273" s="278"/>
      <c r="I273" s="292"/>
      <c r="J273" s="294"/>
      <c r="K273" s="292"/>
      <c r="L273" s="294"/>
      <c r="M273" s="294"/>
      <c r="N273" s="292"/>
      <c r="O273" s="294"/>
    </row>
    <row r="274" spans="2:16" hidden="1" x14ac:dyDescent="0.25">
      <c r="B274" s="295"/>
      <c r="C274" s="278"/>
      <c r="D274" s="278"/>
      <c r="E274" s="278"/>
      <c r="F274" s="278"/>
      <c r="G274" s="278"/>
      <c r="H274" s="278"/>
      <c r="I274" s="278"/>
      <c r="J274" s="278"/>
      <c r="K274" s="278"/>
      <c r="L274" s="278"/>
      <c r="M274" s="278"/>
      <c r="N274" s="278"/>
      <c r="O274" s="278"/>
    </row>
    <row r="275" spans="2:16" ht="15.75" hidden="1" x14ac:dyDescent="0.25">
      <c r="B275" s="278"/>
      <c r="C275" s="313" t="s">
        <v>264</v>
      </c>
      <c r="D275" s="314" t="s">
        <v>265</v>
      </c>
      <c r="E275" s="314" t="s">
        <v>266</v>
      </c>
      <c r="F275" s="314" t="s">
        <v>265</v>
      </c>
      <c r="G275" s="314" t="s">
        <v>267</v>
      </c>
      <c r="H275" s="314" t="s">
        <v>268</v>
      </c>
      <c r="I275" s="314" t="s">
        <v>269</v>
      </c>
      <c r="J275" s="314" t="s">
        <v>270</v>
      </c>
      <c r="K275" s="386" t="s">
        <v>462</v>
      </c>
      <c r="L275" s="386" t="s">
        <v>458</v>
      </c>
      <c r="M275" s="386"/>
      <c r="N275" s="386" t="s">
        <v>459</v>
      </c>
      <c r="O275" s="386" t="s">
        <v>460</v>
      </c>
      <c r="P275" s="386" t="s">
        <v>461</v>
      </c>
    </row>
    <row r="276" spans="2:16" hidden="1" x14ac:dyDescent="0.25">
      <c r="B276" s="293"/>
      <c r="C276" s="278" t="s">
        <v>324</v>
      </c>
      <c r="D276" s="278">
        <v>28</v>
      </c>
      <c r="E276" s="316">
        <v>8985.6</v>
      </c>
      <c r="F276" s="278">
        <v>114</v>
      </c>
      <c r="G276" s="288">
        <v>14893.42</v>
      </c>
      <c r="H276" s="278">
        <f t="shared" ref="H276:H281" si="92">D276+F276</f>
        <v>142</v>
      </c>
      <c r="I276" s="292">
        <f t="shared" ref="I276:I281" si="93">E276+G276</f>
        <v>23879.02</v>
      </c>
      <c r="J276" s="294">
        <f>G276/I276</f>
        <v>0.62370315029678769</v>
      </c>
      <c r="K276" s="387">
        <f>(G276*0.005)*J276</f>
        <v>46.445364863465919</v>
      </c>
      <c r="L276" s="388">
        <v>0.15</v>
      </c>
      <c r="M276" s="387"/>
      <c r="N276" s="288">
        <f>K276-M276</f>
        <v>46.445364863465919</v>
      </c>
      <c r="O276" s="264"/>
    </row>
    <row r="277" spans="2:16" hidden="1" x14ac:dyDescent="0.25">
      <c r="B277" s="293"/>
      <c r="C277" s="278" t="s">
        <v>284</v>
      </c>
      <c r="D277" s="278">
        <v>30</v>
      </c>
      <c r="E277" s="288">
        <v>6009.31</v>
      </c>
      <c r="F277" s="278">
        <v>94</v>
      </c>
      <c r="G277" s="288">
        <v>13855.53</v>
      </c>
      <c r="H277" s="278">
        <f t="shared" si="92"/>
        <v>124</v>
      </c>
      <c r="I277" s="292">
        <f t="shared" si="93"/>
        <v>19864.84</v>
      </c>
      <c r="J277" s="294">
        <f t="shared" ref="J277:J281" si="94">G277/I277</f>
        <v>0.69749013835500318</v>
      </c>
      <c r="K277" s="387">
        <f>(G277*0.005)*J277</f>
        <v>48.320477683409493</v>
      </c>
      <c r="L277" s="388">
        <v>0.15</v>
      </c>
      <c r="M277" s="387"/>
      <c r="N277" s="288">
        <f t="shared" ref="N277:N281" si="95">K277-M277</f>
        <v>48.320477683409493</v>
      </c>
    </row>
    <row r="278" spans="2:16" hidden="1" x14ac:dyDescent="0.25">
      <c r="B278" s="295"/>
      <c r="C278" s="278" t="s">
        <v>359</v>
      </c>
      <c r="D278" s="278">
        <v>7</v>
      </c>
      <c r="E278" s="288">
        <v>1305.03</v>
      </c>
      <c r="F278" s="278">
        <v>10</v>
      </c>
      <c r="G278" s="288">
        <v>1300.93</v>
      </c>
      <c r="H278" s="278">
        <f t="shared" si="92"/>
        <v>17</v>
      </c>
      <c r="I278" s="292">
        <f t="shared" si="93"/>
        <v>2605.96</v>
      </c>
      <c r="J278" s="294">
        <f t="shared" si="94"/>
        <v>0.49921334172435494</v>
      </c>
      <c r="K278" s="387">
        <f t="shared" ref="K278" si="96">(G278*0.005)*J278</f>
        <v>3.2472080632473257</v>
      </c>
      <c r="L278" s="388">
        <v>0.15</v>
      </c>
      <c r="M278" s="387"/>
      <c r="N278" s="288">
        <f t="shared" si="95"/>
        <v>3.2472080632473257</v>
      </c>
    </row>
    <row r="279" spans="2:16" hidden="1" x14ac:dyDescent="0.25">
      <c r="B279" s="295"/>
      <c r="C279" s="278" t="s">
        <v>286</v>
      </c>
      <c r="D279" s="278">
        <v>52</v>
      </c>
      <c r="E279" s="288">
        <v>12637.74</v>
      </c>
      <c r="F279" s="278">
        <v>165</v>
      </c>
      <c r="G279" s="288">
        <v>18865.02</v>
      </c>
      <c r="H279" s="278">
        <f t="shared" si="92"/>
        <v>217</v>
      </c>
      <c r="I279" s="292">
        <f t="shared" si="93"/>
        <v>31502.760000000002</v>
      </c>
      <c r="J279" s="294">
        <f>G279/I279</f>
        <v>0.59883705427714906</v>
      </c>
      <c r="K279" s="387">
        <f>(G279*0.005)*J279</f>
        <v>56.485365028397517</v>
      </c>
      <c r="L279" s="388">
        <v>0.15</v>
      </c>
      <c r="M279" s="387"/>
      <c r="N279" s="288">
        <f t="shared" si="95"/>
        <v>56.485365028397517</v>
      </c>
    </row>
    <row r="280" spans="2:16" hidden="1" x14ac:dyDescent="0.25">
      <c r="B280" s="295" t="s">
        <v>278</v>
      </c>
      <c r="C280" s="278" t="s">
        <v>323</v>
      </c>
      <c r="D280" s="278">
        <v>4</v>
      </c>
      <c r="E280" s="288">
        <v>405.97</v>
      </c>
      <c r="F280" s="278">
        <v>10</v>
      </c>
      <c r="G280" s="288">
        <v>1161.29</v>
      </c>
      <c r="H280" s="278">
        <f t="shared" si="92"/>
        <v>14</v>
      </c>
      <c r="I280" s="292">
        <f t="shared" si="93"/>
        <v>1567.26</v>
      </c>
      <c r="J280" s="245">
        <f t="shared" si="94"/>
        <v>0.74096831412784092</v>
      </c>
      <c r="K280" s="387">
        <f t="shared" ref="K280:K281" si="97">(G280*0.005)*J280</f>
        <v>4.3023954675676022</v>
      </c>
      <c r="L280" s="388">
        <v>0.15</v>
      </c>
      <c r="M280" s="387"/>
      <c r="N280" s="288">
        <f t="shared" si="95"/>
        <v>4.3023954675676022</v>
      </c>
    </row>
    <row r="281" spans="2:16" hidden="1" x14ac:dyDescent="0.25">
      <c r="B281" s="295"/>
      <c r="C281" s="278" t="s">
        <v>325</v>
      </c>
      <c r="D281" s="278">
        <v>22</v>
      </c>
      <c r="E281" s="288">
        <v>6610.74</v>
      </c>
      <c r="F281" s="278">
        <v>109</v>
      </c>
      <c r="G281" s="288">
        <v>12786.95</v>
      </c>
      <c r="H281" s="278">
        <f t="shared" si="92"/>
        <v>131</v>
      </c>
      <c r="I281" s="292">
        <f t="shared" si="93"/>
        <v>19397.690000000002</v>
      </c>
      <c r="J281" s="245">
        <f t="shared" si="94"/>
        <v>0.65919962634726093</v>
      </c>
      <c r="K281" s="387">
        <f t="shared" si="97"/>
        <v>42.145763310605545</v>
      </c>
      <c r="L281" s="388">
        <v>0.15</v>
      </c>
      <c r="M281" s="387"/>
      <c r="N281" s="288">
        <f t="shared" si="95"/>
        <v>42.145763310605545</v>
      </c>
    </row>
    <row r="282" spans="2:16" hidden="1" x14ac:dyDescent="0.25">
      <c r="B282" s="295"/>
      <c r="C282" s="278" t="s">
        <v>358</v>
      </c>
      <c r="D282" s="278"/>
      <c r="E282" s="278"/>
      <c r="F282" s="278"/>
      <c r="G282" s="278"/>
      <c r="H282" s="278"/>
      <c r="I282" s="278"/>
      <c r="J282" s="278"/>
      <c r="K282" s="292"/>
      <c r="L282" s="294"/>
      <c r="M282" s="278"/>
    </row>
    <row r="283" spans="2:16" hidden="1" x14ac:dyDescent="0.25">
      <c r="B283" s="295"/>
      <c r="C283" s="278" t="s">
        <v>360</v>
      </c>
      <c r="D283" s="278"/>
      <c r="E283" s="278"/>
      <c r="F283" s="278"/>
      <c r="G283" s="278"/>
      <c r="H283" s="278"/>
      <c r="I283" s="278"/>
      <c r="J283" s="278"/>
      <c r="K283" s="292"/>
      <c r="L283" s="294"/>
      <c r="M283" s="290" t="s">
        <v>463</v>
      </c>
      <c r="N283" s="395">
        <f>SUM(N276:N282)</f>
        <v>200.94657441669341</v>
      </c>
    </row>
    <row r="284" spans="2:16" hidden="1" x14ac:dyDescent="0.25">
      <c r="B284" s="295"/>
      <c r="C284" s="278" t="s">
        <v>361</v>
      </c>
      <c r="D284" s="278"/>
      <c r="E284" s="278"/>
      <c r="F284" s="278"/>
      <c r="G284" s="278"/>
      <c r="H284" s="278"/>
      <c r="I284" s="278"/>
      <c r="J284" s="278"/>
      <c r="K284" s="292"/>
      <c r="L284" s="294"/>
      <c r="M284" s="278"/>
    </row>
    <row r="285" spans="2:16" hidden="1" x14ac:dyDescent="0.25">
      <c r="B285" s="295"/>
      <c r="C285" s="278" t="s">
        <v>362</v>
      </c>
      <c r="D285" s="278"/>
      <c r="E285" s="303">
        <f>SUM(E276:E281)</f>
        <v>35954.39</v>
      </c>
      <c r="F285" s="278"/>
      <c r="G285" s="303">
        <f>SUM(G276:G281)</f>
        <v>62863.14</v>
      </c>
      <c r="H285" s="278"/>
      <c r="I285" s="292"/>
      <c r="J285" s="294"/>
      <c r="K285" s="292"/>
      <c r="L285" s="294"/>
      <c r="M285" s="294"/>
    </row>
    <row r="286" spans="2:16" hidden="1" x14ac:dyDescent="0.25">
      <c r="B286" s="295"/>
      <c r="C286" s="278"/>
      <c r="D286" s="278"/>
      <c r="E286" s="278"/>
      <c r="F286" s="278"/>
      <c r="G286" s="278"/>
      <c r="H286" s="278"/>
      <c r="I286" s="278"/>
      <c r="J286" s="278"/>
      <c r="K286" s="278"/>
      <c r="L286" s="278"/>
      <c r="M286" s="278"/>
    </row>
    <row r="287" spans="2:16" ht="15.75" hidden="1" x14ac:dyDescent="0.25">
      <c r="C287" s="313" t="s">
        <v>264</v>
      </c>
      <c r="D287" s="314" t="s">
        <v>265</v>
      </c>
      <c r="E287" s="314" t="s">
        <v>266</v>
      </c>
      <c r="F287" s="314" t="s">
        <v>265</v>
      </c>
      <c r="G287" s="314" t="s">
        <v>267</v>
      </c>
      <c r="H287" s="314" t="s">
        <v>268</v>
      </c>
      <c r="I287" s="314" t="s">
        <v>269</v>
      </c>
      <c r="J287" s="314" t="s">
        <v>270</v>
      </c>
      <c r="K287" s="386" t="s">
        <v>462</v>
      </c>
      <c r="L287" s="386" t="s">
        <v>458</v>
      </c>
      <c r="M287" s="386"/>
      <c r="N287" s="386" t="s">
        <v>459</v>
      </c>
      <c r="O287" s="386" t="s">
        <v>460</v>
      </c>
      <c r="P287" s="386" t="s">
        <v>461</v>
      </c>
    </row>
    <row r="288" spans="2:16" hidden="1" x14ac:dyDescent="0.25">
      <c r="B288" s="295"/>
      <c r="C288" s="278"/>
      <c r="D288" s="278"/>
      <c r="E288" s="292"/>
      <c r="F288" s="278"/>
      <c r="G288" s="292"/>
      <c r="H288" s="278"/>
      <c r="I288" s="292"/>
      <c r="J288" s="294"/>
      <c r="K288" s="387">
        <f>(G288*0.005)*J288</f>
        <v>0</v>
      </c>
      <c r="L288" s="388">
        <v>0.15</v>
      </c>
      <c r="M288" s="387"/>
      <c r="N288" s="288">
        <f>K288-M288</f>
        <v>0</v>
      </c>
      <c r="O288" s="264"/>
    </row>
    <row r="289" spans="2:16" hidden="1" x14ac:dyDescent="0.25">
      <c r="B289" s="295"/>
      <c r="C289" s="278" t="s">
        <v>407</v>
      </c>
      <c r="D289" s="278">
        <v>53</v>
      </c>
      <c r="E289" s="292">
        <v>11359.19</v>
      </c>
      <c r="F289" s="278">
        <v>164</v>
      </c>
      <c r="G289" s="292">
        <v>21671.7</v>
      </c>
      <c r="H289" s="278">
        <f>D289+F289</f>
        <v>217</v>
      </c>
      <c r="I289" s="292">
        <f>E289+G289</f>
        <v>33030.89</v>
      </c>
      <c r="J289" s="294">
        <f>G289/I289</f>
        <v>0.65610402868345363</v>
      </c>
      <c r="K289" s="387">
        <f>(G289*0.005)*J289</f>
        <v>71.094448392096012</v>
      </c>
      <c r="L289" s="388">
        <v>0.15</v>
      </c>
      <c r="M289" s="387"/>
      <c r="N289" s="288">
        <f t="shared" ref="N289:N293" si="98">K289-M289</f>
        <v>71.094448392096012</v>
      </c>
    </row>
    <row r="290" spans="2:16" hidden="1" x14ac:dyDescent="0.25">
      <c r="B290" s="295"/>
      <c r="C290" s="278" t="s">
        <v>323</v>
      </c>
      <c r="D290" s="278">
        <v>16</v>
      </c>
      <c r="E290" s="292">
        <v>2651.56</v>
      </c>
      <c r="F290" s="278">
        <v>66</v>
      </c>
      <c r="G290" s="292">
        <v>8421.24</v>
      </c>
      <c r="H290" s="278">
        <f>D290+F290</f>
        <v>82</v>
      </c>
      <c r="I290" s="292">
        <f t="shared" ref="I290:I296" si="99">E290+G290</f>
        <v>11072.8</v>
      </c>
      <c r="J290" s="294">
        <f t="shared" ref="J290:J295" si="100">G290/I290</f>
        <v>0.76053392095946826</v>
      </c>
      <c r="K290" s="387">
        <f t="shared" ref="K290" si="101">(G290*0.005)*J290</f>
        <v>32.02319338270356</v>
      </c>
      <c r="L290" s="388">
        <v>0.15</v>
      </c>
      <c r="M290" s="387"/>
      <c r="N290" s="288">
        <f t="shared" si="98"/>
        <v>32.02319338270356</v>
      </c>
    </row>
    <row r="291" spans="2:16" hidden="1" x14ac:dyDescent="0.25">
      <c r="B291" s="295"/>
      <c r="C291" s="278" t="s">
        <v>362</v>
      </c>
      <c r="D291" s="278">
        <v>41</v>
      </c>
      <c r="E291" s="292">
        <v>8254.41</v>
      </c>
      <c r="F291" s="278">
        <v>127</v>
      </c>
      <c r="G291" s="292">
        <v>14917.99</v>
      </c>
      <c r="H291" s="278">
        <v>168</v>
      </c>
      <c r="I291" s="292">
        <f t="shared" si="99"/>
        <v>23172.400000000001</v>
      </c>
      <c r="J291" s="294">
        <f t="shared" si="100"/>
        <v>0.64378268975160102</v>
      </c>
      <c r="K291" s="387">
        <f>(G291*0.005)*J291</f>
        <v>48.019718639437436</v>
      </c>
      <c r="L291" s="388">
        <v>0.15</v>
      </c>
      <c r="M291" s="387"/>
      <c r="N291" s="288">
        <f t="shared" si="98"/>
        <v>48.019718639437436</v>
      </c>
    </row>
    <row r="292" spans="2:16" hidden="1" x14ac:dyDescent="0.25">
      <c r="B292" s="295"/>
      <c r="C292" s="278" t="s">
        <v>408</v>
      </c>
      <c r="D292" s="278">
        <v>23</v>
      </c>
      <c r="E292" s="292">
        <v>4458.21</v>
      </c>
      <c r="F292" s="278">
        <v>95</v>
      </c>
      <c r="G292" s="292">
        <v>12190.18</v>
      </c>
      <c r="H292" s="278">
        <v>118</v>
      </c>
      <c r="I292" s="292">
        <f t="shared" si="99"/>
        <v>16648.39</v>
      </c>
      <c r="J292" s="294">
        <f t="shared" si="100"/>
        <v>0.73221374559341779</v>
      </c>
      <c r="K292" s="387">
        <f t="shared" ref="K292:K293" si="102">(G292*0.005)*J292</f>
        <v>44.629086786289854</v>
      </c>
      <c r="L292" s="388">
        <v>0.15</v>
      </c>
      <c r="M292" s="387"/>
      <c r="N292" s="288">
        <f t="shared" si="98"/>
        <v>44.629086786289854</v>
      </c>
    </row>
    <row r="293" spans="2:16" hidden="1" x14ac:dyDescent="0.25">
      <c r="B293" s="295"/>
      <c r="C293" s="278" t="s">
        <v>358</v>
      </c>
      <c r="D293" s="278"/>
      <c r="E293" s="292"/>
      <c r="F293" s="278"/>
      <c r="G293" s="292"/>
      <c r="H293" s="278"/>
      <c r="I293" s="292">
        <f t="shared" si="99"/>
        <v>0</v>
      </c>
      <c r="J293" s="294"/>
      <c r="K293" s="387">
        <f t="shared" si="102"/>
        <v>0</v>
      </c>
      <c r="L293" s="388">
        <v>0.15</v>
      </c>
      <c r="M293" s="387"/>
      <c r="N293" s="288">
        <f t="shared" si="98"/>
        <v>0</v>
      </c>
    </row>
    <row r="294" spans="2:16" hidden="1" x14ac:dyDescent="0.25">
      <c r="B294" s="295" t="s">
        <v>279</v>
      </c>
      <c r="C294" s="278" t="s">
        <v>409</v>
      </c>
      <c r="D294" s="278"/>
      <c r="E294" s="292"/>
      <c r="F294" s="278"/>
      <c r="G294" s="292"/>
      <c r="H294" s="278"/>
      <c r="I294" s="292">
        <f t="shared" si="99"/>
        <v>0</v>
      </c>
      <c r="J294" s="294"/>
      <c r="K294" s="387">
        <f t="shared" ref="K294:K295" si="103">(G294*0.005)*J294</f>
        <v>0</v>
      </c>
      <c r="L294" s="388">
        <v>0.15</v>
      </c>
      <c r="M294" s="387"/>
      <c r="N294" s="288">
        <f t="shared" ref="N294:N295" si="104">K294-M294</f>
        <v>0</v>
      </c>
    </row>
    <row r="295" spans="2:16" hidden="1" x14ac:dyDescent="0.25">
      <c r="B295" s="295"/>
      <c r="C295" s="350" t="s">
        <v>410</v>
      </c>
      <c r="D295" s="278">
        <v>8</v>
      </c>
      <c r="E295" s="292">
        <v>1775.4</v>
      </c>
      <c r="F295" s="278">
        <v>30</v>
      </c>
      <c r="G295" s="292">
        <v>2654.01</v>
      </c>
      <c r="H295" s="278">
        <v>38</v>
      </c>
      <c r="I295" s="292">
        <f t="shared" si="99"/>
        <v>4429.41</v>
      </c>
      <c r="J295" s="294">
        <f t="shared" si="100"/>
        <v>0.59917912317893363</v>
      </c>
      <c r="K295" s="387">
        <f t="shared" si="103"/>
        <v>7.9511369235406093</v>
      </c>
      <c r="L295" s="388">
        <v>0.15</v>
      </c>
      <c r="M295" s="387"/>
      <c r="N295" s="288">
        <f t="shared" si="104"/>
        <v>7.9511369235406093</v>
      </c>
    </row>
    <row r="296" spans="2:16" hidden="1" x14ac:dyDescent="0.25">
      <c r="B296" s="295"/>
      <c r="C296" s="278"/>
      <c r="D296" s="278"/>
      <c r="E296" s="292"/>
      <c r="F296" s="278"/>
      <c r="G296" s="292"/>
      <c r="H296" s="278"/>
      <c r="I296" s="292">
        <f t="shared" si="99"/>
        <v>0</v>
      </c>
      <c r="J296" s="294"/>
      <c r="M296" s="290" t="s">
        <v>463</v>
      </c>
      <c r="N296" s="395">
        <f>SUM(N288:N295)</f>
        <v>203.71758412406749</v>
      </c>
    </row>
    <row r="297" spans="2:16" hidden="1" x14ac:dyDescent="0.25">
      <c r="B297" s="295"/>
      <c r="C297" s="278"/>
      <c r="D297" s="278"/>
      <c r="E297" s="303">
        <f>SUM(E288:E293)</f>
        <v>26723.37</v>
      </c>
      <c r="F297" s="278"/>
      <c r="G297" s="303">
        <f>SUM(G288:G293)</f>
        <v>57201.11</v>
      </c>
      <c r="H297" s="278"/>
      <c r="I297" s="292"/>
      <c r="J297" s="294"/>
    </row>
    <row r="298" spans="2:16" hidden="1" x14ac:dyDescent="0.25">
      <c r="B298" s="295"/>
      <c r="C298" s="278"/>
      <c r="D298" s="278"/>
      <c r="E298" s="292"/>
      <c r="F298" s="278"/>
      <c r="G298" s="292"/>
      <c r="H298" s="278"/>
      <c r="I298" s="292"/>
      <c r="J298" s="294"/>
    </row>
    <row r="299" spans="2:16" hidden="1" x14ac:dyDescent="0.25">
      <c r="B299" s="295"/>
      <c r="C299" s="278"/>
      <c r="D299" s="278"/>
      <c r="E299" s="292"/>
      <c r="F299" s="278"/>
      <c r="G299" s="292"/>
      <c r="H299" s="278"/>
      <c r="I299" s="292"/>
      <c r="J299" s="294"/>
    </row>
    <row r="300" spans="2:16" ht="15.75" hidden="1" x14ac:dyDescent="0.25">
      <c r="B300" s="278"/>
      <c r="C300" s="313" t="s">
        <v>264</v>
      </c>
      <c r="D300" s="314" t="s">
        <v>265</v>
      </c>
      <c r="E300" s="314" t="s">
        <v>266</v>
      </c>
      <c r="F300" s="314" t="s">
        <v>265</v>
      </c>
      <c r="G300" s="314" t="s">
        <v>267</v>
      </c>
      <c r="H300" s="314" t="s">
        <v>268</v>
      </c>
      <c r="I300" s="314" t="s">
        <v>269</v>
      </c>
      <c r="J300" s="314" t="s">
        <v>270</v>
      </c>
      <c r="K300" s="386" t="s">
        <v>462</v>
      </c>
      <c r="L300" s="386" t="s">
        <v>458</v>
      </c>
      <c r="M300" s="386"/>
      <c r="N300" s="386" t="s">
        <v>459</v>
      </c>
      <c r="O300" s="386" t="s">
        <v>460</v>
      </c>
      <c r="P300" s="386" t="s">
        <v>461</v>
      </c>
    </row>
    <row r="301" spans="2:16" hidden="1" x14ac:dyDescent="0.25">
      <c r="B301" s="293"/>
      <c r="C301" s="278" t="s">
        <v>415</v>
      </c>
      <c r="D301" s="278">
        <v>28</v>
      </c>
      <c r="E301" s="316">
        <v>8985.6</v>
      </c>
      <c r="F301" s="278">
        <v>114</v>
      </c>
      <c r="G301" s="288">
        <v>14893.42</v>
      </c>
      <c r="H301" s="278">
        <f t="shared" ref="H301:H307" si="105">D301+F301</f>
        <v>142</v>
      </c>
      <c r="I301" s="292">
        <f t="shared" ref="I301:I307" si="106">E301+G301</f>
        <v>23879.02</v>
      </c>
      <c r="J301" s="294">
        <f t="shared" ref="J301:J307" si="107">G301/I301</f>
        <v>0.62370315029678769</v>
      </c>
      <c r="K301" s="387">
        <f>(G301*0.005)*J301</f>
        <v>46.445364863465919</v>
      </c>
      <c r="L301" s="388">
        <v>0.15</v>
      </c>
      <c r="M301" s="387"/>
      <c r="N301" s="288">
        <f>K301-M301</f>
        <v>46.445364863465919</v>
      </c>
      <c r="O301" s="264"/>
    </row>
    <row r="302" spans="2:16" hidden="1" x14ac:dyDescent="0.25">
      <c r="B302" s="295"/>
      <c r="C302" s="278" t="s">
        <v>417</v>
      </c>
      <c r="D302" s="278">
        <v>27</v>
      </c>
      <c r="E302" s="288">
        <v>5700.26</v>
      </c>
      <c r="F302" s="278">
        <v>99</v>
      </c>
      <c r="G302" s="288">
        <v>11826.33</v>
      </c>
      <c r="H302" s="278">
        <f>D302+F302</f>
        <v>126</v>
      </c>
      <c r="I302" s="292">
        <f>E302+G302</f>
        <v>17526.59</v>
      </c>
      <c r="J302" s="245">
        <f t="shared" si="107"/>
        <v>0.67476502845105635</v>
      </c>
      <c r="K302" s="387">
        <f>(G302*0.005)*J302</f>
        <v>39.899969494607909</v>
      </c>
      <c r="L302" s="388">
        <v>0.15</v>
      </c>
      <c r="M302" s="387"/>
      <c r="N302" s="288">
        <f t="shared" ref="N302:N308" si="108">K302-M302</f>
        <v>39.899969494607909</v>
      </c>
    </row>
    <row r="303" spans="2:16" hidden="1" x14ac:dyDescent="0.25">
      <c r="B303" s="295" t="s">
        <v>280</v>
      </c>
      <c r="C303" s="278" t="s">
        <v>416</v>
      </c>
      <c r="D303" s="278">
        <v>13</v>
      </c>
      <c r="E303" s="288">
        <v>2630.36</v>
      </c>
      <c r="F303" s="278">
        <v>104</v>
      </c>
      <c r="G303" s="288">
        <v>15203.39</v>
      </c>
      <c r="H303" s="278">
        <f>D303+F303</f>
        <v>117</v>
      </c>
      <c r="I303" s="292">
        <f>E303+G303</f>
        <v>17833.75</v>
      </c>
      <c r="J303" s="245">
        <f t="shared" si="107"/>
        <v>0.85250662367701691</v>
      </c>
      <c r="K303" s="387">
        <f t="shared" ref="K303" si="109">(G303*0.005)*J303</f>
        <v>64.804953386724605</v>
      </c>
      <c r="L303" s="388">
        <v>0.15</v>
      </c>
      <c r="M303" s="387"/>
      <c r="N303" s="288">
        <f t="shared" si="108"/>
        <v>64.804953386724605</v>
      </c>
    </row>
    <row r="304" spans="2:16" hidden="1" x14ac:dyDescent="0.25">
      <c r="B304" s="295"/>
      <c r="C304" s="278" t="s">
        <v>286</v>
      </c>
      <c r="D304" s="278">
        <v>65</v>
      </c>
      <c r="E304" s="288">
        <v>14005.11</v>
      </c>
      <c r="F304" s="278">
        <v>157</v>
      </c>
      <c r="G304" s="288">
        <v>19273.8</v>
      </c>
      <c r="H304" s="278">
        <f t="shared" si="105"/>
        <v>222</v>
      </c>
      <c r="I304" s="292">
        <f t="shared" si="106"/>
        <v>33278.910000000003</v>
      </c>
      <c r="J304" s="294">
        <f t="shared" si="107"/>
        <v>0.57915959386890969</v>
      </c>
      <c r="K304" s="387">
        <f>(G304*0.005)*J304</f>
        <v>55.813030901552956</v>
      </c>
      <c r="L304" s="388">
        <v>0.15</v>
      </c>
      <c r="M304" s="387"/>
      <c r="N304" s="288">
        <f t="shared" si="108"/>
        <v>55.813030901552956</v>
      </c>
    </row>
    <row r="305" spans="2:16" hidden="1" x14ac:dyDescent="0.25">
      <c r="B305" s="295"/>
      <c r="C305" s="278" t="s">
        <v>362</v>
      </c>
      <c r="D305" s="278">
        <v>62</v>
      </c>
      <c r="E305" s="288">
        <v>10564.54</v>
      </c>
      <c r="F305" s="278">
        <v>125</v>
      </c>
      <c r="G305" s="288">
        <v>16417.63</v>
      </c>
      <c r="H305" s="278">
        <f t="shared" si="105"/>
        <v>187</v>
      </c>
      <c r="I305" s="292">
        <f t="shared" si="106"/>
        <v>26982.170000000002</v>
      </c>
      <c r="J305" s="294">
        <f t="shared" si="107"/>
        <v>0.6084621807660392</v>
      </c>
      <c r="K305" s="387">
        <f t="shared" ref="K305:K308" si="110">(G305*0.005)*J305</f>
        <v>49.947534764049749</v>
      </c>
      <c r="L305" s="388">
        <v>0.15</v>
      </c>
      <c r="M305" s="387"/>
      <c r="N305" s="288">
        <f t="shared" si="108"/>
        <v>49.947534764049749</v>
      </c>
    </row>
    <row r="306" spans="2:16" hidden="1" x14ac:dyDescent="0.25">
      <c r="C306" s="278" t="s">
        <v>360</v>
      </c>
      <c r="D306" s="278">
        <v>1</v>
      </c>
      <c r="E306" s="288">
        <v>224.55</v>
      </c>
      <c r="F306" s="278">
        <v>30</v>
      </c>
      <c r="G306" s="288">
        <v>4243.51</v>
      </c>
      <c r="H306" s="278">
        <f t="shared" si="105"/>
        <v>31</v>
      </c>
      <c r="I306" s="292">
        <f t="shared" si="106"/>
        <v>4468.0600000000004</v>
      </c>
      <c r="J306" s="294">
        <f t="shared" si="107"/>
        <v>0.9497432890337193</v>
      </c>
      <c r="K306" s="387">
        <f t="shared" si="110"/>
        <v>20.151225722237392</v>
      </c>
      <c r="L306" s="388">
        <v>0.15</v>
      </c>
      <c r="M306" s="387"/>
      <c r="N306" s="288">
        <f t="shared" si="108"/>
        <v>20.151225722237392</v>
      </c>
    </row>
    <row r="307" spans="2:16" hidden="1" x14ac:dyDescent="0.25">
      <c r="B307" s="301"/>
      <c r="C307" s="278" t="s">
        <v>324</v>
      </c>
      <c r="D307" s="278">
        <v>21</v>
      </c>
      <c r="E307" s="278">
        <v>3079.72</v>
      </c>
      <c r="F307" s="278">
        <v>56</v>
      </c>
      <c r="G307" s="278">
        <v>6440.95</v>
      </c>
      <c r="H307" s="278">
        <f t="shared" si="105"/>
        <v>77</v>
      </c>
      <c r="I307" s="278">
        <f t="shared" si="106"/>
        <v>9520.67</v>
      </c>
      <c r="J307" s="294">
        <f t="shared" si="107"/>
        <v>0.67652276572972281</v>
      </c>
      <c r="K307" s="387">
        <f t="shared" si="110"/>
        <v>21.787246539634289</v>
      </c>
      <c r="L307" s="388">
        <v>0.15</v>
      </c>
      <c r="M307" s="387"/>
      <c r="N307" s="288">
        <f t="shared" si="108"/>
        <v>21.787246539634289</v>
      </c>
    </row>
    <row r="308" spans="2:16" hidden="1" x14ac:dyDescent="0.25">
      <c r="B308" s="301"/>
      <c r="C308" s="278" t="s">
        <v>418</v>
      </c>
      <c r="D308" s="278"/>
      <c r="E308" s="278"/>
      <c r="F308" s="278"/>
      <c r="G308" s="278"/>
      <c r="H308" s="278"/>
      <c r="I308" s="278"/>
      <c r="J308" s="278"/>
      <c r="K308" s="387">
        <f t="shared" si="110"/>
        <v>0</v>
      </c>
      <c r="L308" s="388">
        <v>0.15</v>
      </c>
      <c r="M308" s="387"/>
      <c r="N308" s="288">
        <f t="shared" si="108"/>
        <v>0</v>
      </c>
    </row>
    <row r="309" spans="2:16" hidden="1" x14ac:dyDescent="0.25">
      <c r="B309" s="301"/>
      <c r="C309" s="278" t="s">
        <v>419</v>
      </c>
      <c r="D309" s="278"/>
      <c r="E309" s="278"/>
      <c r="F309" s="278"/>
      <c r="G309" s="278"/>
      <c r="H309" s="278"/>
      <c r="I309" s="278"/>
      <c r="J309" s="278"/>
      <c r="M309" s="290" t="s">
        <v>463</v>
      </c>
      <c r="N309" s="395">
        <f>SUM(N301:N308)</f>
        <v>298.84932567227281</v>
      </c>
    </row>
    <row r="310" spans="2:16" hidden="1" x14ac:dyDescent="0.25">
      <c r="B310" s="301"/>
      <c r="C310" s="278"/>
      <c r="D310" s="278"/>
      <c r="E310" s="303">
        <f>SUM(E301:E306)</f>
        <v>42110.420000000006</v>
      </c>
      <c r="F310" s="278"/>
      <c r="G310" s="303">
        <f>SUM(G301:G306)</f>
        <v>81858.080000000002</v>
      </c>
      <c r="H310" s="278"/>
      <c r="I310" s="278"/>
      <c r="J310" s="294"/>
    </row>
    <row r="311" spans="2:16" hidden="1" x14ac:dyDescent="0.25">
      <c r="B311" s="301"/>
      <c r="C311" s="278"/>
      <c r="D311" s="278"/>
      <c r="E311" s="292"/>
      <c r="F311" s="278"/>
      <c r="G311" s="292"/>
      <c r="H311" s="278"/>
      <c r="I311" s="292"/>
      <c r="J311" s="294"/>
    </row>
    <row r="312" spans="2:16" ht="15.75" hidden="1" x14ac:dyDescent="0.25">
      <c r="B312" s="278"/>
      <c r="C312" s="313" t="s">
        <v>264</v>
      </c>
      <c r="D312" s="314" t="s">
        <v>265</v>
      </c>
      <c r="E312" s="314" t="s">
        <v>266</v>
      </c>
      <c r="F312" s="314" t="s">
        <v>265</v>
      </c>
      <c r="G312" s="314" t="s">
        <v>267</v>
      </c>
      <c r="H312" s="314" t="s">
        <v>268</v>
      </c>
      <c r="I312" s="314" t="s">
        <v>269</v>
      </c>
      <c r="J312" s="314" t="s">
        <v>270</v>
      </c>
      <c r="K312" s="386" t="s">
        <v>462</v>
      </c>
      <c r="L312" s="386" t="s">
        <v>458</v>
      </c>
      <c r="M312" s="386"/>
      <c r="N312" s="386" t="s">
        <v>459</v>
      </c>
      <c r="O312" s="386" t="s">
        <v>460</v>
      </c>
      <c r="P312" s="386" t="s">
        <v>461</v>
      </c>
    </row>
    <row r="313" spans="2:16" hidden="1" x14ac:dyDescent="0.25">
      <c r="B313" s="293"/>
      <c r="C313" s="278" t="s">
        <v>415</v>
      </c>
      <c r="D313" s="278">
        <v>2</v>
      </c>
      <c r="E313" s="316">
        <v>401.2</v>
      </c>
      <c r="F313" s="278">
        <v>1</v>
      </c>
      <c r="G313" s="288">
        <v>119.1</v>
      </c>
      <c r="H313" s="278">
        <f t="shared" ref="H313" si="111">D313+F313</f>
        <v>3</v>
      </c>
      <c r="I313" s="292">
        <f t="shared" ref="I313" si="112">E313+G313</f>
        <v>520.29999999999995</v>
      </c>
      <c r="J313" s="294">
        <f t="shared" ref="J313:J319" si="113">G313/I313</f>
        <v>0.22890640015375746</v>
      </c>
      <c r="K313" s="387">
        <f>(G313*0.005)*J313</f>
        <v>0.13631376129156259</v>
      </c>
      <c r="L313" s="388">
        <v>0.15</v>
      </c>
      <c r="M313" s="387"/>
      <c r="N313" s="288">
        <f>K313-M313</f>
        <v>0.13631376129156259</v>
      </c>
      <c r="O313" s="264"/>
    </row>
    <row r="314" spans="2:16" hidden="1" x14ac:dyDescent="0.25">
      <c r="B314" s="293"/>
      <c r="C314" s="278" t="s">
        <v>454</v>
      </c>
      <c r="D314" s="278">
        <v>2</v>
      </c>
      <c r="E314" s="288">
        <v>578.92999999999995</v>
      </c>
      <c r="F314" s="278" t="s">
        <v>453</v>
      </c>
      <c r="G314" s="288">
        <v>1551.96</v>
      </c>
      <c r="H314" s="278">
        <v>12</v>
      </c>
      <c r="I314" s="292">
        <f>E314+G314</f>
        <v>2130.89</v>
      </c>
      <c r="J314" s="245">
        <f t="shared" si="113"/>
        <v>0.72831539873010809</v>
      </c>
      <c r="K314" s="387">
        <f>(G314*0.005)*J314</f>
        <v>5.6515818310658927</v>
      </c>
      <c r="L314" s="388">
        <v>0.15</v>
      </c>
      <c r="M314" s="387"/>
      <c r="N314" s="288">
        <f t="shared" ref="N314:N320" si="114">K314-M314</f>
        <v>5.6515818310658927</v>
      </c>
    </row>
    <row r="315" spans="2:16" hidden="1" x14ac:dyDescent="0.25">
      <c r="B315" s="293"/>
      <c r="C315" s="278" t="s">
        <v>416</v>
      </c>
      <c r="D315" s="278">
        <v>23</v>
      </c>
      <c r="E315" s="288">
        <v>7108.45</v>
      </c>
      <c r="F315" s="278">
        <v>97</v>
      </c>
      <c r="G315" s="288">
        <v>12104.56</v>
      </c>
      <c r="H315" s="278">
        <f>D315+F315</f>
        <v>120</v>
      </c>
      <c r="I315" s="292">
        <f>E315+G315</f>
        <v>19213.009999999998</v>
      </c>
      <c r="J315" s="245">
        <f t="shared" si="113"/>
        <v>0.63001892988136687</v>
      </c>
      <c r="K315" s="387">
        <f t="shared" ref="K315" si="115">(G315*0.005)*J315</f>
        <v>38.130509689423988</v>
      </c>
      <c r="L315" s="388">
        <v>0.15</v>
      </c>
      <c r="M315" s="387"/>
      <c r="N315" s="288">
        <f t="shared" si="114"/>
        <v>38.130509689423988</v>
      </c>
    </row>
    <row r="316" spans="2:16" hidden="1" x14ac:dyDescent="0.25">
      <c r="B316" s="295"/>
      <c r="C316" s="278" t="s">
        <v>286</v>
      </c>
      <c r="D316" s="278">
        <v>51</v>
      </c>
      <c r="E316" s="288">
        <v>11434.08</v>
      </c>
      <c r="F316" s="278">
        <v>134</v>
      </c>
      <c r="G316" s="288">
        <v>15420.81</v>
      </c>
      <c r="H316" s="278">
        <f t="shared" ref="H316:H319" si="116">D316+F316</f>
        <v>185</v>
      </c>
      <c r="I316" s="292">
        <f t="shared" ref="I316:I319" si="117">E316+G316</f>
        <v>26854.89</v>
      </c>
      <c r="J316" s="294">
        <f t="shared" si="113"/>
        <v>0.57422726363801901</v>
      </c>
      <c r="K316" s="387">
        <f>(G316*0.005)*J316</f>
        <v>44.275247646909001</v>
      </c>
      <c r="L316" s="388">
        <v>0.15</v>
      </c>
      <c r="M316" s="387"/>
      <c r="N316" s="288">
        <f t="shared" si="114"/>
        <v>44.275247646909001</v>
      </c>
    </row>
    <row r="317" spans="2:16" hidden="1" x14ac:dyDescent="0.25">
      <c r="B317" s="295" t="s">
        <v>452</v>
      </c>
      <c r="C317" s="278" t="s">
        <v>362</v>
      </c>
      <c r="D317" s="278">
        <v>20</v>
      </c>
      <c r="E317" s="288">
        <v>5391.96</v>
      </c>
      <c r="F317" s="278">
        <v>96</v>
      </c>
      <c r="G317" s="288">
        <v>12724.79</v>
      </c>
      <c r="H317" s="278">
        <f t="shared" si="116"/>
        <v>116</v>
      </c>
      <c r="I317" s="292">
        <f t="shared" si="117"/>
        <v>18116.75</v>
      </c>
      <c r="J317" s="294">
        <f t="shared" si="113"/>
        <v>0.70237708198214366</v>
      </c>
      <c r="K317" s="387">
        <f t="shared" ref="K317:K320" si="118">(G317*0.005)*J317</f>
        <v>44.688004345177816</v>
      </c>
      <c r="L317" s="388">
        <v>0.15</v>
      </c>
      <c r="M317" s="387"/>
      <c r="N317" s="288">
        <f t="shared" si="114"/>
        <v>44.688004345177816</v>
      </c>
    </row>
    <row r="318" spans="2:16" hidden="1" x14ac:dyDescent="0.25">
      <c r="B318" s="295"/>
      <c r="C318" s="278" t="s">
        <v>360</v>
      </c>
      <c r="D318" s="278">
        <v>4</v>
      </c>
      <c r="E318" s="288">
        <v>587.27</v>
      </c>
      <c r="F318" s="278">
        <v>21</v>
      </c>
      <c r="G318" s="288">
        <v>3149.63</v>
      </c>
      <c r="H318" s="278">
        <f t="shared" si="116"/>
        <v>25</v>
      </c>
      <c r="I318" s="292">
        <f t="shared" si="117"/>
        <v>3736.9</v>
      </c>
      <c r="J318" s="294">
        <f t="shared" si="113"/>
        <v>0.84284567422194867</v>
      </c>
      <c r="K318" s="387">
        <f t="shared" si="118"/>
        <v>13.273260104498382</v>
      </c>
      <c r="L318" s="388">
        <v>0.15</v>
      </c>
      <c r="M318" s="387"/>
      <c r="N318" s="288">
        <f t="shared" si="114"/>
        <v>13.273260104498382</v>
      </c>
    </row>
    <row r="319" spans="2:16" hidden="1" x14ac:dyDescent="0.25">
      <c r="B319" s="295"/>
      <c r="C319" s="278" t="s">
        <v>324</v>
      </c>
      <c r="D319" s="278">
        <v>21</v>
      </c>
      <c r="E319" s="278">
        <v>3079.72</v>
      </c>
      <c r="F319" s="278">
        <v>56</v>
      </c>
      <c r="G319" s="278">
        <v>6440.95</v>
      </c>
      <c r="H319" s="278">
        <f t="shared" si="116"/>
        <v>77</v>
      </c>
      <c r="I319" s="278">
        <f t="shared" si="117"/>
        <v>9520.67</v>
      </c>
      <c r="J319" s="294">
        <f t="shared" si="113"/>
        <v>0.67652276572972281</v>
      </c>
      <c r="K319" s="387">
        <f t="shared" si="118"/>
        <v>21.787246539634289</v>
      </c>
      <c r="L319" s="388">
        <v>0.15</v>
      </c>
      <c r="M319" s="387"/>
      <c r="N319" s="288">
        <f t="shared" si="114"/>
        <v>21.787246539634289</v>
      </c>
    </row>
    <row r="320" spans="2:16" hidden="1" x14ac:dyDescent="0.25">
      <c r="B320" s="295"/>
      <c r="C320" s="278" t="s">
        <v>418</v>
      </c>
      <c r="D320" s="278"/>
      <c r="E320" s="278"/>
      <c r="F320" s="278"/>
      <c r="G320" s="278"/>
      <c r="H320" s="278"/>
      <c r="I320" s="278"/>
      <c r="J320" s="278"/>
      <c r="K320" s="387">
        <f t="shared" si="118"/>
        <v>0</v>
      </c>
      <c r="L320" s="388">
        <v>0.15</v>
      </c>
      <c r="M320" s="387"/>
      <c r="N320" s="288">
        <f t="shared" si="114"/>
        <v>0</v>
      </c>
    </row>
    <row r="321" spans="2:16" hidden="1" x14ac:dyDescent="0.25">
      <c r="B321" s="295"/>
      <c r="C321" s="278" t="s">
        <v>419</v>
      </c>
      <c r="D321" s="278"/>
      <c r="E321" s="278"/>
      <c r="F321" s="278"/>
      <c r="G321" s="278"/>
      <c r="H321" s="278"/>
      <c r="I321" s="278"/>
      <c r="J321" s="278"/>
      <c r="L321" s="322">
        <f t="shared" ref="L321" si="119">G321+K321</f>
        <v>0</v>
      </c>
      <c r="M321" s="290" t="s">
        <v>463</v>
      </c>
      <c r="N321" s="395">
        <f>SUM(N313:N320)</f>
        <v>167.94216391800092</v>
      </c>
    </row>
    <row r="322" spans="2:16" hidden="1" x14ac:dyDescent="0.25">
      <c r="C322" s="278"/>
      <c r="D322" s="278"/>
      <c r="E322" s="303">
        <f>SUM(E313:E318)</f>
        <v>25501.89</v>
      </c>
      <c r="F322" s="278"/>
      <c r="G322" s="303">
        <f>SUM(G313:G318)</f>
        <v>45070.85</v>
      </c>
      <c r="H322" s="278"/>
      <c r="I322" s="278"/>
      <c r="J322" s="294"/>
    </row>
    <row r="323" spans="2:16" hidden="1" x14ac:dyDescent="0.25">
      <c r="B323" s="301"/>
      <c r="C323" s="278"/>
      <c r="D323" s="278"/>
      <c r="E323" s="292"/>
      <c r="F323" s="278"/>
      <c r="G323" s="292"/>
      <c r="H323" s="278"/>
      <c r="I323" s="292"/>
      <c r="J323" s="294"/>
    </row>
    <row r="324" spans="2:16" ht="15.75" hidden="1" x14ac:dyDescent="0.25">
      <c r="B324" s="278"/>
      <c r="C324" s="313" t="s">
        <v>264</v>
      </c>
      <c r="D324" s="314" t="s">
        <v>265</v>
      </c>
      <c r="E324" s="314" t="s">
        <v>266</v>
      </c>
      <c r="F324" s="314" t="s">
        <v>265</v>
      </c>
      <c r="G324" s="314" t="s">
        <v>267</v>
      </c>
      <c r="H324" s="314" t="s">
        <v>268</v>
      </c>
      <c r="I324" s="314" t="s">
        <v>269</v>
      </c>
      <c r="J324" s="314" t="s">
        <v>270</v>
      </c>
      <c r="K324" s="386" t="s">
        <v>462</v>
      </c>
      <c r="L324" s="386" t="s">
        <v>458</v>
      </c>
      <c r="M324" s="386"/>
      <c r="N324" s="386" t="s">
        <v>459</v>
      </c>
      <c r="O324" s="386" t="s">
        <v>460</v>
      </c>
      <c r="P324" s="386" t="s">
        <v>461</v>
      </c>
    </row>
    <row r="325" spans="2:16" hidden="1" x14ac:dyDescent="0.25">
      <c r="B325" s="293"/>
      <c r="C325" s="278" t="s">
        <v>415</v>
      </c>
      <c r="D325" s="278"/>
      <c r="E325" s="316"/>
      <c r="F325" s="278"/>
      <c r="G325" s="288"/>
      <c r="H325" s="278"/>
      <c r="I325" s="292">
        <f t="shared" ref="I325" si="120">E325+G325</f>
        <v>0</v>
      </c>
      <c r="J325" s="294" t="e">
        <f t="shared" ref="J325:J333" si="121">G325/I325</f>
        <v>#DIV/0!</v>
      </c>
      <c r="K325" s="387"/>
      <c r="L325" s="388">
        <v>0.15</v>
      </c>
      <c r="M325" s="387"/>
      <c r="N325" s="288">
        <f>K325-M325</f>
        <v>0</v>
      </c>
      <c r="O325" s="264"/>
    </row>
    <row r="326" spans="2:16" hidden="1" x14ac:dyDescent="0.25">
      <c r="B326" s="293"/>
      <c r="C326" s="278" t="s">
        <v>417</v>
      </c>
      <c r="D326" s="278">
        <v>5</v>
      </c>
      <c r="E326" s="288">
        <v>1659.38</v>
      </c>
      <c r="F326" s="278">
        <v>15</v>
      </c>
      <c r="G326" s="288">
        <v>1479.99</v>
      </c>
      <c r="H326" s="278">
        <f>D326+F326</f>
        <v>20</v>
      </c>
      <c r="I326" s="292">
        <f>E326+G326</f>
        <v>3139.37</v>
      </c>
      <c r="J326" s="245">
        <f t="shared" si="121"/>
        <v>0.47142898097388969</v>
      </c>
      <c r="K326" s="387">
        <f>(G326*0.005)*J326</f>
        <v>3.4885508877577354</v>
      </c>
      <c r="L326" s="388">
        <v>0.15</v>
      </c>
      <c r="M326" s="387"/>
      <c r="N326" s="288">
        <f t="shared" ref="N326:N332" si="122">K326-M326</f>
        <v>3.4885508877577354</v>
      </c>
    </row>
    <row r="327" spans="2:16" hidden="1" x14ac:dyDescent="0.25">
      <c r="B327" s="293"/>
      <c r="C327" s="278" t="s">
        <v>416</v>
      </c>
      <c r="D327" s="278">
        <v>5</v>
      </c>
      <c r="E327" s="288">
        <v>1293.3</v>
      </c>
      <c r="F327" s="278">
        <v>60</v>
      </c>
      <c r="G327" s="288">
        <v>7104.7</v>
      </c>
      <c r="H327" s="278">
        <f t="shared" ref="H327:H333" si="123">D327+F327</f>
        <v>65</v>
      </c>
      <c r="I327" s="292">
        <f>E327+G327</f>
        <v>8398</v>
      </c>
      <c r="J327" s="245">
        <f t="shared" si="121"/>
        <v>0.84599904739223619</v>
      </c>
      <c r="K327" s="387">
        <f t="shared" ref="K327" si="124">(G327*0.005)*J327</f>
        <v>30.052847160038102</v>
      </c>
      <c r="L327" s="388">
        <v>0.15</v>
      </c>
      <c r="M327" s="387"/>
      <c r="N327" s="288">
        <f t="shared" si="122"/>
        <v>30.052847160038102</v>
      </c>
    </row>
    <row r="328" spans="2:16" hidden="1" x14ac:dyDescent="0.25">
      <c r="B328" s="295"/>
      <c r="C328" s="278" t="s">
        <v>286</v>
      </c>
      <c r="D328" s="278">
        <v>37</v>
      </c>
      <c r="E328" s="288">
        <v>9170.1299999999992</v>
      </c>
      <c r="F328" s="278">
        <v>96</v>
      </c>
      <c r="G328" s="288">
        <v>11112.24</v>
      </c>
      <c r="H328" s="278">
        <f t="shared" si="123"/>
        <v>133</v>
      </c>
      <c r="I328" s="292">
        <f t="shared" ref="I328:I333" si="125">E328+G328</f>
        <v>20282.37</v>
      </c>
      <c r="J328" s="294">
        <f t="shared" si="121"/>
        <v>0.54787680137972039</v>
      </c>
      <c r="K328" s="387">
        <f>(G328*0.005)*J328</f>
        <v>30.440692536818919</v>
      </c>
      <c r="L328" s="388">
        <v>0.15</v>
      </c>
      <c r="M328" s="387"/>
      <c r="N328" s="288">
        <f t="shared" si="122"/>
        <v>30.440692536818919</v>
      </c>
    </row>
    <row r="329" spans="2:16" hidden="1" x14ac:dyDescent="0.25">
      <c r="B329" s="295" t="s">
        <v>282</v>
      </c>
      <c r="C329" s="278" t="s">
        <v>362</v>
      </c>
      <c r="D329" s="278">
        <v>36</v>
      </c>
      <c r="E329" s="288">
        <v>8023.9</v>
      </c>
      <c r="F329" s="278">
        <v>96</v>
      </c>
      <c r="G329" s="288">
        <v>9712.58</v>
      </c>
      <c r="H329" s="278">
        <f t="shared" si="123"/>
        <v>132</v>
      </c>
      <c r="I329" s="292">
        <f t="shared" si="125"/>
        <v>17736.48</v>
      </c>
      <c r="J329" s="294">
        <f t="shared" si="121"/>
        <v>0.54760471074305617</v>
      </c>
      <c r="K329" s="387">
        <f t="shared" ref="K329:K332" si="126">(G329*0.005)*J329</f>
        <v>26.593272807343961</v>
      </c>
      <c r="L329" s="388">
        <v>0.15</v>
      </c>
      <c r="M329" s="387"/>
      <c r="N329" s="288">
        <f t="shared" si="122"/>
        <v>26.593272807343961</v>
      </c>
    </row>
    <row r="330" spans="2:16" hidden="1" x14ac:dyDescent="0.25">
      <c r="B330" s="295"/>
      <c r="C330" s="278" t="s">
        <v>360</v>
      </c>
      <c r="D330" s="278">
        <v>8</v>
      </c>
      <c r="E330" s="288">
        <v>3192.76</v>
      </c>
      <c r="F330" s="278">
        <v>13</v>
      </c>
      <c r="G330" s="288">
        <v>2533.9499999999998</v>
      </c>
      <c r="H330" s="278">
        <f t="shared" si="123"/>
        <v>21</v>
      </c>
      <c r="I330" s="292">
        <f t="shared" si="125"/>
        <v>5726.71</v>
      </c>
      <c r="J330" s="294">
        <f t="shared" si="121"/>
        <v>0.44247918962196442</v>
      </c>
      <c r="K330" s="387">
        <f t="shared" si="126"/>
        <v>5.606100712712883</v>
      </c>
      <c r="L330" s="388">
        <v>0.15</v>
      </c>
      <c r="M330" s="387"/>
      <c r="N330" s="288">
        <f t="shared" si="122"/>
        <v>5.606100712712883</v>
      </c>
    </row>
    <row r="331" spans="2:16" hidden="1" x14ac:dyDescent="0.25">
      <c r="B331" s="295"/>
      <c r="C331" s="278" t="s">
        <v>324</v>
      </c>
      <c r="D331" s="278">
        <v>11</v>
      </c>
      <c r="E331" s="316">
        <v>3142.44</v>
      </c>
      <c r="F331" s="278">
        <v>110</v>
      </c>
      <c r="G331" s="316">
        <v>13243.82</v>
      </c>
      <c r="H331" s="278">
        <f t="shared" si="123"/>
        <v>121</v>
      </c>
      <c r="I331" s="292">
        <f t="shared" si="125"/>
        <v>16386.259999999998</v>
      </c>
      <c r="J331" s="294">
        <f t="shared" si="121"/>
        <v>0.80822713663764645</v>
      </c>
      <c r="K331" s="387">
        <f t="shared" si="126"/>
        <v>53.520073583721974</v>
      </c>
      <c r="L331" s="388">
        <v>0.15</v>
      </c>
      <c r="M331" s="387"/>
      <c r="N331" s="288">
        <f t="shared" si="122"/>
        <v>53.520073583721974</v>
      </c>
    </row>
    <row r="332" spans="2:16" hidden="1" x14ac:dyDescent="0.25">
      <c r="B332" s="295"/>
      <c r="C332" s="278" t="s">
        <v>418</v>
      </c>
      <c r="D332" s="278"/>
      <c r="E332" s="316"/>
      <c r="F332" s="278">
        <v>7</v>
      </c>
      <c r="G332" s="316">
        <v>809.95</v>
      </c>
      <c r="H332" s="278">
        <f t="shared" si="123"/>
        <v>7</v>
      </c>
      <c r="I332" s="292">
        <f t="shared" si="125"/>
        <v>809.95</v>
      </c>
      <c r="J332" s="294">
        <f t="shared" si="121"/>
        <v>1</v>
      </c>
      <c r="K332" s="387">
        <f t="shared" si="126"/>
        <v>4.0497500000000004</v>
      </c>
      <c r="L332" s="388">
        <v>0.15</v>
      </c>
      <c r="M332" s="387"/>
      <c r="N332" s="288">
        <f t="shared" si="122"/>
        <v>4.0497500000000004</v>
      </c>
    </row>
    <row r="333" spans="2:16" hidden="1" x14ac:dyDescent="0.25">
      <c r="B333" s="295"/>
      <c r="C333" s="278" t="s">
        <v>419</v>
      </c>
      <c r="D333" s="278"/>
      <c r="E333" s="316"/>
      <c r="F333" s="278">
        <v>2</v>
      </c>
      <c r="G333" s="316">
        <v>1415.31</v>
      </c>
      <c r="H333" s="278">
        <f t="shared" si="123"/>
        <v>2</v>
      </c>
      <c r="I333" s="292">
        <f t="shared" si="125"/>
        <v>1415.31</v>
      </c>
      <c r="J333" s="294">
        <f t="shared" si="121"/>
        <v>1</v>
      </c>
      <c r="K333" s="387">
        <f t="shared" ref="K333" si="127">(G333*0.005)*J333</f>
        <v>7.0765500000000001</v>
      </c>
      <c r="L333" s="388">
        <v>0.15</v>
      </c>
      <c r="M333" s="387"/>
      <c r="N333" s="288">
        <f t="shared" ref="N333" si="128">K333-M333</f>
        <v>7.0765500000000001</v>
      </c>
    </row>
    <row r="334" spans="2:16" hidden="1" x14ac:dyDescent="0.25">
      <c r="C334" s="278"/>
      <c r="D334" s="278"/>
      <c r="E334" s="316"/>
      <c r="F334" s="278"/>
      <c r="G334" s="316"/>
      <c r="H334" s="278"/>
      <c r="I334" s="278"/>
      <c r="J334" s="294"/>
      <c r="M334" s="290" t="s">
        <v>463</v>
      </c>
      <c r="N334" s="395">
        <f>SUM(N325:N333)</f>
        <v>160.82783768839357</v>
      </c>
    </row>
    <row r="335" spans="2:16" hidden="1" x14ac:dyDescent="0.25">
      <c r="C335" s="278"/>
      <c r="D335" s="278"/>
      <c r="E335" s="316"/>
      <c r="F335" s="278"/>
      <c r="G335" s="316"/>
      <c r="H335" s="278"/>
      <c r="I335" s="278"/>
      <c r="J335" s="294"/>
      <c r="M335" s="348"/>
      <c r="N335" s="396"/>
    </row>
    <row r="336" spans="2:16" hidden="1" x14ac:dyDescent="0.25">
      <c r="C336" s="278"/>
      <c r="D336" s="278"/>
      <c r="E336" s="316"/>
      <c r="F336" s="278"/>
      <c r="G336" s="316"/>
      <c r="H336" s="278"/>
      <c r="I336" s="278"/>
      <c r="J336" s="294"/>
      <c r="M336" s="290" t="s">
        <v>466</v>
      </c>
      <c r="N336" s="395">
        <f>SUM(N218+N225+N232+N239+N248+N260+N272+N283+N296+N309+N321+N334)</f>
        <v>2176.6560029954808</v>
      </c>
    </row>
    <row r="337" spans="1:16" hidden="1" x14ac:dyDescent="0.25">
      <c r="G337" s="264"/>
    </row>
    <row r="338" spans="1:16" s="30" customFormat="1" ht="26.25" x14ac:dyDescent="0.25">
      <c r="A338" s="577" t="s">
        <v>642</v>
      </c>
      <c r="B338" s="578">
        <v>2026</v>
      </c>
      <c r="C338" s="579" t="s">
        <v>0</v>
      </c>
      <c r="D338" s="579" t="s">
        <v>1</v>
      </c>
      <c r="E338" s="580" t="s">
        <v>2</v>
      </c>
      <c r="F338" s="579" t="s">
        <v>3</v>
      </c>
      <c r="G338" s="580" t="s">
        <v>4</v>
      </c>
      <c r="H338" s="579" t="s">
        <v>5</v>
      </c>
      <c r="I338" s="579" t="s">
        <v>6</v>
      </c>
      <c r="J338" s="580" t="s">
        <v>7</v>
      </c>
      <c r="K338" s="580" t="s">
        <v>8</v>
      </c>
      <c r="L338" s="580" t="s">
        <v>9</v>
      </c>
      <c r="M338" s="580" t="s">
        <v>10</v>
      </c>
      <c r="N338" s="579" t="s">
        <v>11</v>
      </c>
      <c r="O338" s="581"/>
    </row>
    <row r="339" spans="1:16" ht="19.5" customHeight="1" x14ac:dyDescent="0.3">
      <c r="A339" s="446"/>
      <c r="B339" s="447" t="s">
        <v>661</v>
      </c>
      <c r="C339" s="6">
        <v>80000</v>
      </c>
      <c r="D339" s="6">
        <v>78000</v>
      </c>
      <c r="E339" s="6">
        <v>85000</v>
      </c>
      <c r="F339" s="6">
        <v>80000</v>
      </c>
      <c r="G339" s="6">
        <f>G167*1.12</f>
        <v>100059.34400000003</v>
      </c>
      <c r="H339" s="6">
        <v>75000</v>
      </c>
      <c r="I339" s="6">
        <f>I167*1.12</f>
        <v>102623.18080000002</v>
      </c>
      <c r="J339" s="6">
        <f>J167*1.12</f>
        <v>111887.65280000001</v>
      </c>
      <c r="K339" s="6">
        <f>K167*1.12</f>
        <v>99312.751999999993</v>
      </c>
      <c r="L339" s="6">
        <f>L167*1.12</f>
        <v>124499.7936</v>
      </c>
      <c r="M339" s="6">
        <f>M167*1.12</f>
        <v>106458.912</v>
      </c>
      <c r="N339" s="6">
        <f>N165*1.12</f>
        <v>84000.000000000015</v>
      </c>
      <c r="O339" s="448">
        <f>SUM(C339:N339)</f>
        <v>1126841.6352000001</v>
      </c>
      <c r="P339" s="97" t="e">
        <f>O339/O298</f>
        <v>#DIV/0!</v>
      </c>
    </row>
    <row r="340" spans="1:16" s="353" customFormat="1" x14ac:dyDescent="0.25">
      <c r="A340" s="486"/>
      <c r="B340" s="465" t="s">
        <v>662</v>
      </c>
      <c r="C340" s="582">
        <f t="shared" ref="C340:N340" si="129">(C339/C167)-1</f>
        <v>6.6165995115360587E-2</v>
      </c>
      <c r="D340" s="582">
        <f t="shared" si="129"/>
        <v>0.19427135590679701</v>
      </c>
      <c r="E340" s="582">
        <f t="shared" si="129"/>
        <v>8.8283058070272036E-2</v>
      </c>
      <c r="F340" s="582">
        <f t="shared" si="129"/>
        <v>0.13546977649129044</v>
      </c>
      <c r="G340" s="582">
        <f t="shared" si="129"/>
        <v>0.12000000000000011</v>
      </c>
      <c r="H340" s="582">
        <f t="shared" si="129"/>
        <v>0.1084585287976787</v>
      </c>
      <c r="I340" s="582">
        <f t="shared" si="129"/>
        <v>0.12000000000000011</v>
      </c>
      <c r="J340" s="582">
        <f t="shared" si="129"/>
        <v>0.12000000000000011</v>
      </c>
      <c r="K340" s="582">
        <f t="shared" si="129"/>
        <v>0.12000000000000011</v>
      </c>
      <c r="L340" s="582">
        <f t="shared" si="129"/>
        <v>0.12000000000000011</v>
      </c>
      <c r="M340" s="582">
        <f t="shared" si="129"/>
        <v>0.12000000000000011</v>
      </c>
      <c r="N340" s="582">
        <f t="shared" si="129"/>
        <v>-2.8148970879177893E-2</v>
      </c>
      <c r="O340" s="583"/>
      <c r="P340" s="437"/>
    </row>
    <row r="341" spans="1:16" ht="18.75" customHeight="1" x14ac:dyDescent="0.3">
      <c r="A341" s="487" t="s">
        <v>529</v>
      </c>
      <c r="B341" s="271" t="s">
        <v>456</v>
      </c>
      <c r="C341" s="7">
        <f>C342+C344</f>
        <v>71024.549999999988</v>
      </c>
      <c r="D341" s="7"/>
      <c r="E341" s="343"/>
      <c r="F341" s="7"/>
      <c r="G341" s="7"/>
      <c r="H341" s="7"/>
      <c r="I341" s="7"/>
      <c r="J341" s="7"/>
      <c r="K341" s="7"/>
      <c r="L341" s="7"/>
      <c r="M341" s="7"/>
      <c r="N341" s="7"/>
      <c r="O341" s="448">
        <f>SUM(C341:N341)</f>
        <v>71024.549999999988</v>
      </c>
    </row>
    <row r="342" spans="1:16" s="11" customFormat="1" ht="15.75" customHeight="1" x14ac:dyDescent="0.3">
      <c r="A342" s="487" t="s">
        <v>533</v>
      </c>
      <c r="B342" s="163" t="s">
        <v>14</v>
      </c>
      <c r="C342" s="467">
        <v>52533.38</v>
      </c>
      <c r="D342" s="12"/>
      <c r="E342" s="185"/>
      <c r="F342" s="198"/>
      <c r="G342" s="12"/>
      <c r="H342" s="12"/>
      <c r="I342" s="12"/>
      <c r="J342" s="12"/>
      <c r="K342" s="12"/>
      <c r="L342" s="12"/>
      <c r="M342" s="12"/>
      <c r="N342" s="12"/>
      <c r="O342" s="450">
        <f>SUM(C342:N342)</f>
        <v>52533.38</v>
      </c>
    </row>
    <row r="343" spans="1:16" s="11" customFormat="1" ht="15.75" customHeight="1" x14ac:dyDescent="0.3">
      <c r="A343" s="488"/>
      <c r="B343" s="23" t="s">
        <v>668</v>
      </c>
      <c r="C343" s="467"/>
      <c r="D343" s="12"/>
      <c r="E343" s="185"/>
      <c r="F343" s="198"/>
      <c r="G343" s="12"/>
      <c r="H343" s="12"/>
      <c r="I343" s="12"/>
      <c r="J343" s="12"/>
      <c r="K343" s="12"/>
      <c r="L343" s="12"/>
      <c r="M343" s="12"/>
      <c r="N343" s="12"/>
      <c r="O343" s="450"/>
    </row>
    <row r="344" spans="1:16" ht="15.75" customHeight="1" x14ac:dyDescent="0.3">
      <c r="A344" s="487" t="s">
        <v>533</v>
      </c>
      <c r="B344" s="163" t="s">
        <v>13</v>
      </c>
      <c r="C344" s="4">
        <v>18491.169999999998</v>
      </c>
      <c r="D344" s="4"/>
      <c r="E344" s="185"/>
      <c r="F344" s="4"/>
      <c r="G344" s="4"/>
      <c r="H344" s="4"/>
      <c r="I344" s="4"/>
      <c r="J344" s="252"/>
      <c r="K344" s="449"/>
      <c r="L344" s="252"/>
      <c r="M344" s="252"/>
      <c r="N344" s="252"/>
      <c r="O344" s="450">
        <f t="shared" ref="O344" si="130">SUM(C344:N344)</f>
        <v>18491.169999999998</v>
      </c>
    </row>
    <row r="345" spans="1:16" ht="15.75" customHeight="1" x14ac:dyDescent="0.3">
      <c r="A345" s="488"/>
      <c r="B345" s="23" t="s">
        <v>668</v>
      </c>
      <c r="C345" s="4"/>
      <c r="D345" s="4"/>
      <c r="E345" s="185"/>
      <c r="F345" s="4"/>
      <c r="G345" s="4"/>
      <c r="H345" s="4"/>
      <c r="I345" s="4"/>
      <c r="J345" s="252"/>
      <c r="K345" s="449"/>
      <c r="L345" s="252"/>
      <c r="M345" s="252"/>
      <c r="N345" s="252"/>
      <c r="O345" s="450"/>
    </row>
    <row r="346" spans="1:16" ht="15.75" customHeight="1" x14ac:dyDescent="0.3">
      <c r="A346" s="488"/>
      <c r="B346" s="468" t="s">
        <v>667</v>
      </c>
      <c r="C346" s="469" t="s">
        <v>669</v>
      </c>
      <c r="D346" s="4"/>
      <c r="E346" s="185"/>
      <c r="F346" s="4"/>
      <c r="G346" s="4"/>
      <c r="H346" s="4"/>
      <c r="I346" s="4"/>
      <c r="J346" s="252"/>
      <c r="K346" s="449"/>
      <c r="L346" s="252"/>
      <c r="M346" s="252"/>
      <c r="N346" s="252"/>
      <c r="O346" s="450"/>
    </row>
    <row r="347" spans="1:16" ht="15.75" customHeight="1" x14ac:dyDescent="0.3">
      <c r="A347" s="488"/>
      <c r="B347" s="468" t="s">
        <v>667</v>
      </c>
      <c r="C347" s="469" t="s">
        <v>669</v>
      </c>
      <c r="D347" s="4"/>
      <c r="E347" s="185"/>
      <c r="F347" s="4"/>
      <c r="G347" s="4"/>
      <c r="H347" s="4"/>
      <c r="I347" s="4"/>
      <c r="J347" s="252"/>
      <c r="K347" s="449"/>
      <c r="L347" s="252"/>
      <c r="M347" s="252"/>
      <c r="N347" s="252"/>
      <c r="O347" s="450"/>
    </row>
    <row r="348" spans="1:16" ht="15.75" customHeight="1" x14ac:dyDescent="0.3">
      <c r="A348" s="488"/>
      <c r="B348" s="468" t="s">
        <v>667</v>
      </c>
      <c r="C348" s="469" t="s">
        <v>669</v>
      </c>
      <c r="D348" s="4"/>
      <c r="E348" s="185"/>
      <c r="F348" s="4"/>
      <c r="G348" s="4"/>
      <c r="H348" s="4"/>
      <c r="I348" s="4"/>
      <c r="J348" s="252"/>
      <c r="K348" s="449"/>
      <c r="L348" s="252"/>
      <c r="M348" s="252"/>
      <c r="N348" s="252"/>
      <c r="O348" s="450"/>
    </row>
    <row r="349" spans="1:16" ht="15.75" customHeight="1" x14ac:dyDescent="0.3">
      <c r="A349" s="488"/>
      <c r="B349" s="468" t="s">
        <v>667</v>
      </c>
      <c r="C349" s="469" t="s">
        <v>669</v>
      </c>
      <c r="D349" s="4"/>
      <c r="E349" s="185"/>
      <c r="F349" s="4"/>
      <c r="G349" s="4"/>
      <c r="H349" s="4"/>
      <c r="I349" s="4"/>
      <c r="J349" s="252"/>
      <c r="K349" s="449"/>
      <c r="L349" s="252"/>
      <c r="M349" s="252"/>
      <c r="N349" s="252"/>
      <c r="O349" s="450"/>
    </row>
    <row r="350" spans="1:16" ht="18.75" customHeight="1" x14ac:dyDescent="0.3">
      <c r="A350" s="446"/>
      <c r="B350" s="163" t="s">
        <v>695</v>
      </c>
      <c r="C350" s="467">
        <v>10754.11</v>
      </c>
      <c r="D350" s="467"/>
      <c r="E350" s="278"/>
      <c r="G350" s="470"/>
      <c r="H350" s="470"/>
      <c r="I350" s="7"/>
      <c r="J350" s="7"/>
      <c r="K350" s="7"/>
      <c r="L350" s="7"/>
      <c r="M350" s="7"/>
      <c r="N350" s="7"/>
      <c r="O350" s="448">
        <f>SUM(C350:N350)</f>
        <v>10754.11</v>
      </c>
      <c r="P350" s="379">
        <f>O341+O350</f>
        <v>81778.659999999989</v>
      </c>
    </row>
    <row r="351" spans="1:16" ht="18.75" customHeight="1" thickBot="1" x14ac:dyDescent="0.4">
      <c r="A351" s="461"/>
      <c r="B351" s="163" t="s">
        <v>463</v>
      </c>
      <c r="C351" s="489">
        <f>C341+C350</f>
        <v>81778.659999999989</v>
      </c>
      <c r="D351" s="490"/>
      <c r="E351" s="491"/>
      <c r="F351" s="492"/>
      <c r="G351" s="493"/>
      <c r="H351" s="493"/>
      <c r="I351" s="494"/>
      <c r="J351" s="494"/>
      <c r="K351" s="494"/>
      <c r="L351" s="494"/>
      <c r="M351" s="494"/>
      <c r="N351" s="494"/>
      <c r="O351" s="495"/>
      <c r="P351" s="379"/>
    </row>
    <row r="352" spans="1:16" ht="19.5" thickBot="1" x14ac:dyDescent="0.35">
      <c r="A352" s="441"/>
      <c r="B352" s="496"/>
      <c r="C352" s="443" t="s">
        <v>0</v>
      </c>
      <c r="D352" s="443" t="s">
        <v>1</v>
      </c>
      <c r="E352" s="444" t="s">
        <v>2</v>
      </c>
      <c r="F352" s="443" t="s">
        <v>3</v>
      </c>
      <c r="G352" s="444" t="s">
        <v>4</v>
      </c>
      <c r="H352" s="443" t="s">
        <v>5</v>
      </c>
      <c r="I352" s="443" t="s">
        <v>6</v>
      </c>
      <c r="J352" s="444" t="s">
        <v>7</v>
      </c>
      <c r="K352" s="444" t="s">
        <v>8</v>
      </c>
      <c r="L352" s="444" t="s">
        <v>9</v>
      </c>
      <c r="M352" s="444" t="s">
        <v>10</v>
      </c>
      <c r="N352" s="443" t="s">
        <v>11</v>
      </c>
      <c r="O352" s="497">
        <f>O341/O339</f>
        <v>6.3029753056110707E-2</v>
      </c>
    </row>
    <row r="353" spans="1:15" ht="15.75" customHeight="1" x14ac:dyDescent="0.25">
      <c r="A353" s="502" t="s">
        <v>536</v>
      </c>
      <c r="B353" s="503" t="s">
        <v>670</v>
      </c>
      <c r="C353" s="504">
        <f>(C351/C339)-1</f>
        <v>2.223324999999976E-2</v>
      </c>
      <c r="D353" s="505">
        <f t="shared" ref="D353:N353" si="131">(D341/D339)-1</f>
        <v>-1</v>
      </c>
      <c r="E353" s="505">
        <f t="shared" si="131"/>
        <v>-1</v>
      </c>
      <c r="F353" s="505">
        <f t="shared" si="131"/>
        <v>-1</v>
      </c>
      <c r="G353" s="505">
        <f t="shared" si="131"/>
        <v>-1</v>
      </c>
      <c r="H353" s="505">
        <f t="shared" si="131"/>
        <v>-1</v>
      </c>
      <c r="I353" s="505">
        <f t="shared" si="131"/>
        <v>-1</v>
      </c>
      <c r="J353" s="505">
        <f t="shared" si="131"/>
        <v>-1</v>
      </c>
      <c r="K353" s="505">
        <f t="shared" si="131"/>
        <v>-1</v>
      </c>
      <c r="L353" s="505">
        <f t="shared" si="131"/>
        <v>-1</v>
      </c>
      <c r="M353" s="505">
        <f t="shared" si="131"/>
        <v>-1</v>
      </c>
      <c r="N353" s="505">
        <f t="shared" si="131"/>
        <v>-1</v>
      </c>
      <c r="O353" s="445"/>
    </row>
    <row r="354" spans="1:15" ht="15.75" customHeight="1" x14ac:dyDescent="0.25">
      <c r="A354" s="487" t="s">
        <v>536</v>
      </c>
      <c r="B354" s="14" t="s">
        <v>671</v>
      </c>
      <c r="C354" s="471">
        <f>(C351/C167)-1</f>
        <v>8.9870330226258899E-2</v>
      </c>
      <c r="D354" s="16">
        <f t="shared" ref="D354:N354" si="132">(D341/D167)-1</f>
        <v>-1</v>
      </c>
      <c r="E354" s="16">
        <f t="shared" si="132"/>
        <v>-1</v>
      </c>
      <c r="F354" s="16">
        <f t="shared" si="132"/>
        <v>-1</v>
      </c>
      <c r="G354" s="16">
        <f t="shared" si="132"/>
        <v>-1</v>
      </c>
      <c r="H354" s="16">
        <f t="shared" si="132"/>
        <v>-1</v>
      </c>
      <c r="I354" s="16">
        <f t="shared" si="132"/>
        <v>-1</v>
      </c>
      <c r="J354" s="16">
        <f t="shared" si="132"/>
        <v>-1</v>
      </c>
      <c r="K354" s="16">
        <f t="shared" si="132"/>
        <v>-1</v>
      </c>
      <c r="L354" s="16">
        <f t="shared" si="132"/>
        <v>-1</v>
      </c>
      <c r="M354" s="16">
        <f t="shared" si="132"/>
        <v>-1</v>
      </c>
      <c r="N354" s="16">
        <f t="shared" si="132"/>
        <v>-1</v>
      </c>
      <c r="O354" s="460"/>
    </row>
    <row r="355" spans="1:15" ht="15.75" thickBot="1" x14ac:dyDescent="0.3">
      <c r="A355" s="461"/>
      <c r="B355" s="462"/>
      <c r="C355" s="463"/>
      <c r="D355" s="463"/>
      <c r="E355" s="463"/>
      <c r="F355" s="463"/>
      <c r="G355" s="463"/>
      <c r="H355" s="463"/>
      <c r="I355" s="463"/>
      <c r="J355" s="463"/>
      <c r="K355" s="463"/>
      <c r="L355" s="463"/>
      <c r="M355" s="463"/>
      <c r="N355" s="463"/>
      <c r="O355" s="464"/>
    </row>
    <row r="356" spans="1:15" ht="15.75" customHeight="1" x14ac:dyDescent="0.25">
      <c r="A356" s="502" t="s">
        <v>539</v>
      </c>
      <c r="B356" s="506" t="s">
        <v>22</v>
      </c>
      <c r="C356" s="507">
        <v>455</v>
      </c>
      <c r="D356" s="507"/>
      <c r="E356" s="507"/>
      <c r="F356" s="507"/>
      <c r="G356" s="507"/>
      <c r="H356" s="507"/>
      <c r="I356" s="507"/>
      <c r="J356" s="507"/>
      <c r="K356" s="507"/>
      <c r="L356" s="508"/>
      <c r="M356" s="509"/>
      <c r="N356" s="509"/>
      <c r="O356" s="445"/>
    </row>
    <row r="357" spans="1:15" ht="15.75" customHeight="1" x14ac:dyDescent="0.25">
      <c r="A357" s="446"/>
      <c r="B357" s="163" t="s">
        <v>214</v>
      </c>
      <c r="C357" s="260">
        <f>C356/27</f>
        <v>16.851851851851851</v>
      </c>
      <c r="D357" s="260"/>
      <c r="E357" s="260"/>
      <c r="F357" s="260"/>
      <c r="G357" s="260"/>
      <c r="H357" s="260"/>
      <c r="I357" s="260"/>
      <c r="J357" s="260"/>
      <c r="K357" s="260"/>
      <c r="L357" s="260"/>
      <c r="M357" s="260"/>
      <c r="N357" s="260"/>
      <c r="O357" s="460"/>
    </row>
    <row r="358" spans="1:15" ht="15.75" customHeight="1" x14ac:dyDescent="0.25">
      <c r="A358" s="487" t="s">
        <v>539</v>
      </c>
      <c r="B358" s="163" t="s">
        <v>23</v>
      </c>
      <c r="C358" s="279">
        <v>6215</v>
      </c>
      <c r="D358" s="278"/>
      <c r="E358" s="278"/>
      <c r="F358" s="278"/>
      <c r="G358" s="278"/>
      <c r="H358" s="278"/>
      <c r="I358" s="278"/>
      <c r="J358" s="278"/>
      <c r="K358" s="278"/>
      <c r="L358" s="260"/>
      <c r="M358" s="278"/>
      <c r="O358" s="460"/>
    </row>
    <row r="359" spans="1:15" ht="15.75" customHeight="1" x14ac:dyDescent="0.25">
      <c r="A359" s="446"/>
      <c r="B359" s="23" t="s">
        <v>658</v>
      </c>
      <c r="C359" s="279" t="s">
        <v>48</v>
      </c>
      <c r="D359" s="278"/>
      <c r="E359" s="278"/>
      <c r="F359" s="278"/>
      <c r="G359" s="278"/>
      <c r="H359" s="278"/>
      <c r="I359" s="278"/>
      <c r="J359" s="278"/>
      <c r="K359" s="278"/>
      <c r="L359" s="260"/>
      <c r="M359" s="278"/>
      <c r="O359" s="460"/>
    </row>
    <row r="360" spans="1:15" ht="15.75" customHeight="1" x14ac:dyDescent="0.25">
      <c r="A360" s="446"/>
      <c r="B360" s="23" t="s">
        <v>659</v>
      </c>
      <c r="C360" s="279" t="s">
        <v>48</v>
      </c>
      <c r="D360" s="278"/>
      <c r="E360" s="278"/>
      <c r="F360" s="278"/>
      <c r="G360" s="278"/>
      <c r="H360" s="278"/>
      <c r="I360" s="278"/>
      <c r="J360" s="278"/>
      <c r="K360" s="278"/>
      <c r="L360" s="260"/>
      <c r="M360" s="278"/>
      <c r="O360" s="460"/>
    </row>
    <row r="361" spans="1:15" ht="15.75" customHeight="1" x14ac:dyDescent="0.25">
      <c r="A361" s="446"/>
      <c r="B361" s="23"/>
      <c r="C361" s="278"/>
      <c r="E361" s="278"/>
      <c r="O361" s="460"/>
    </row>
    <row r="362" spans="1:15" ht="15.75" customHeight="1" x14ac:dyDescent="0.25">
      <c r="A362" s="487" t="s">
        <v>539</v>
      </c>
      <c r="B362" s="23" t="s">
        <v>50</v>
      </c>
      <c r="C362" s="280">
        <f>C341/C356</f>
        <v>156.09791208791205</v>
      </c>
      <c r="D362" s="112"/>
      <c r="E362" s="112"/>
      <c r="F362" s="112"/>
      <c r="G362" s="112"/>
      <c r="H362" s="112"/>
      <c r="I362" s="112"/>
      <c r="J362" s="344"/>
      <c r="K362" s="101"/>
      <c r="L362" s="101"/>
      <c r="M362" s="118"/>
      <c r="N362" s="11"/>
      <c r="O362" s="460"/>
    </row>
    <row r="363" spans="1:15" ht="15.75" customHeight="1" x14ac:dyDescent="0.25">
      <c r="A363" s="446"/>
      <c r="B363" s="23" t="s">
        <v>672</v>
      </c>
      <c r="C363" s="280"/>
      <c r="D363" s="112"/>
      <c r="E363" s="112"/>
      <c r="F363" s="112"/>
      <c r="G363" s="112"/>
      <c r="H363" s="112"/>
      <c r="I363" s="112"/>
      <c r="J363" s="344"/>
      <c r="K363" s="101"/>
      <c r="L363" s="101"/>
      <c r="M363" s="118"/>
      <c r="N363" s="11"/>
      <c r="O363" s="460"/>
    </row>
    <row r="364" spans="1:15" ht="15.75" customHeight="1" thickBot="1" x14ac:dyDescent="0.3">
      <c r="A364" s="461"/>
      <c r="B364" s="510"/>
      <c r="C364" s="511"/>
      <c r="D364" s="512"/>
      <c r="E364" s="512"/>
      <c r="F364" s="512"/>
      <c r="G364" s="512"/>
      <c r="H364" s="512"/>
      <c r="I364" s="512"/>
      <c r="J364" s="513"/>
      <c r="K364" s="514"/>
      <c r="L364" s="514"/>
      <c r="M364" s="515"/>
      <c r="N364" s="516"/>
      <c r="O364" s="464"/>
    </row>
    <row r="365" spans="1:15" ht="15.75" customHeight="1" x14ac:dyDescent="0.25">
      <c r="A365" s="502" t="s">
        <v>643</v>
      </c>
      <c r="B365" s="517" t="s">
        <v>673</v>
      </c>
      <c r="C365" s="518">
        <f>C358/C356</f>
        <v>13.659340659340659</v>
      </c>
      <c r="D365" s="518"/>
      <c r="E365" s="518"/>
      <c r="F365" s="518"/>
      <c r="G365" s="518"/>
      <c r="H365" s="518"/>
      <c r="I365" s="518"/>
      <c r="J365" s="518"/>
      <c r="K365" s="518"/>
      <c r="L365" s="518"/>
      <c r="M365" s="518"/>
      <c r="N365" s="518"/>
      <c r="O365" s="445"/>
    </row>
    <row r="366" spans="1:15" ht="15.75" customHeight="1" x14ac:dyDescent="0.25">
      <c r="A366" s="446"/>
      <c r="B366" s="23" t="s">
        <v>659</v>
      </c>
      <c r="C366" s="280"/>
      <c r="D366" s="112"/>
      <c r="E366" s="112"/>
      <c r="F366" s="112"/>
      <c r="G366" s="112"/>
      <c r="H366" s="112"/>
      <c r="I366" s="112"/>
      <c r="J366" s="344"/>
      <c r="K366" s="101"/>
      <c r="L366" s="101"/>
      <c r="M366" s="118"/>
      <c r="N366" s="11"/>
      <c r="O366" s="460"/>
    </row>
    <row r="367" spans="1:15" ht="15.75" customHeight="1" thickBot="1" x14ac:dyDescent="0.3">
      <c r="A367" s="461"/>
      <c r="B367" s="510"/>
      <c r="C367" s="511"/>
      <c r="D367" s="512"/>
      <c r="E367" s="512"/>
      <c r="F367" s="512"/>
      <c r="G367" s="512"/>
      <c r="H367" s="512"/>
      <c r="I367" s="512"/>
      <c r="J367" s="513"/>
      <c r="K367" s="514"/>
      <c r="L367" s="514"/>
      <c r="M367" s="515"/>
      <c r="N367" s="516"/>
      <c r="O367" s="464"/>
    </row>
    <row r="368" spans="1:15" ht="15.75" customHeight="1" x14ac:dyDescent="0.25">
      <c r="A368" s="502" t="s">
        <v>644</v>
      </c>
      <c r="B368" s="517" t="s">
        <v>39</v>
      </c>
      <c r="C368" s="519">
        <v>104</v>
      </c>
      <c r="D368" s="519"/>
      <c r="E368" s="496"/>
      <c r="F368" s="508"/>
      <c r="G368" s="508"/>
      <c r="H368" s="508"/>
      <c r="I368" s="520"/>
      <c r="J368" s="508"/>
      <c r="K368" s="521"/>
      <c r="L368" s="508"/>
      <c r="M368" s="522"/>
      <c r="N368" s="522"/>
      <c r="O368" s="445"/>
    </row>
    <row r="369" spans="1:17" ht="15.75" customHeight="1" x14ac:dyDescent="0.25">
      <c r="A369" s="446"/>
      <c r="B369" s="23" t="s">
        <v>674</v>
      </c>
      <c r="C369" s="114"/>
      <c r="D369" s="114"/>
      <c r="E369" s="273"/>
      <c r="F369" s="297"/>
      <c r="G369" s="297"/>
      <c r="H369" s="297"/>
      <c r="I369" s="117"/>
      <c r="J369" s="297"/>
      <c r="K369" s="472"/>
      <c r="L369" s="297"/>
      <c r="M369" s="17"/>
      <c r="N369" s="17"/>
      <c r="O369" s="460"/>
    </row>
    <row r="370" spans="1:17" ht="15.75" customHeight="1" thickBot="1" x14ac:dyDescent="0.3">
      <c r="A370" s="461"/>
      <c r="B370" s="510"/>
      <c r="C370" s="523"/>
      <c r="D370" s="523"/>
      <c r="E370" s="524"/>
      <c r="F370" s="490"/>
      <c r="G370" s="490"/>
      <c r="H370" s="490"/>
      <c r="I370" s="525"/>
      <c r="J370" s="490"/>
      <c r="K370" s="526"/>
      <c r="L370" s="490"/>
      <c r="M370" s="527"/>
      <c r="N370" s="527"/>
      <c r="O370" s="464"/>
    </row>
    <row r="371" spans="1:17" ht="15.75" customHeight="1" x14ac:dyDescent="0.25">
      <c r="A371" s="502" t="s">
        <v>645</v>
      </c>
      <c r="B371" s="517" t="s">
        <v>24</v>
      </c>
      <c r="C371" s="528">
        <v>0.89</v>
      </c>
      <c r="D371" s="529"/>
      <c r="E371" s="529"/>
      <c r="F371" s="530"/>
      <c r="G371" s="529"/>
      <c r="H371" s="529"/>
      <c r="I371" s="529"/>
      <c r="J371" s="529"/>
      <c r="K371" s="531"/>
      <c r="L371" s="530"/>
      <c r="M371" s="530"/>
      <c r="N371" s="509"/>
      <c r="O371" s="445"/>
    </row>
    <row r="372" spans="1:17" ht="15.75" customHeight="1" x14ac:dyDescent="0.25">
      <c r="A372" s="446"/>
      <c r="B372" s="23" t="s">
        <v>51</v>
      </c>
      <c r="C372" s="278">
        <v>97</v>
      </c>
      <c r="D372" s="278"/>
      <c r="E372" s="278"/>
      <c r="G372" s="278"/>
      <c r="H372" s="278"/>
      <c r="I372" s="278"/>
      <c r="J372" s="278"/>
      <c r="K372" s="30"/>
      <c r="O372" s="460"/>
    </row>
    <row r="373" spans="1:17" ht="15.75" customHeight="1" thickBot="1" x14ac:dyDescent="0.3">
      <c r="A373" s="461"/>
      <c r="B373" s="532"/>
      <c r="C373" s="491"/>
      <c r="D373" s="490"/>
      <c r="E373" s="491"/>
      <c r="F373" s="492"/>
      <c r="G373" s="493"/>
      <c r="H373" s="493"/>
      <c r="I373" s="492"/>
      <c r="J373" s="492"/>
      <c r="K373" s="492"/>
      <c r="L373" s="492"/>
      <c r="M373" s="492"/>
      <c r="N373" s="492"/>
      <c r="O373" s="464"/>
    </row>
    <row r="374" spans="1:17" ht="15.75" customHeight="1" x14ac:dyDescent="0.25">
      <c r="A374" s="502" t="s">
        <v>646</v>
      </c>
      <c r="B374" s="503" t="s">
        <v>34</v>
      </c>
      <c r="C374" s="533">
        <f>C375+C376</f>
        <v>105883.65</v>
      </c>
      <c r="D374" s="534"/>
      <c r="E374" s="534"/>
      <c r="F374" s="534"/>
      <c r="G374" s="534"/>
      <c r="H374" s="534"/>
      <c r="I374" s="534"/>
      <c r="J374" s="534"/>
      <c r="K374" s="534"/>
      <c r="L374" s="534"/>
      <c r="M374" s="534"/>
      <c r="N374" s="534"/>
      <c r="O374" s="445"/>
      <c r="P374" s="9"/>
    </row>
    <row r="375" spans="1:17" ht="15.75" customHeight="1" x14ac:dyDescent="0.25">
      <c r="A375" s="446"/>
      <c r="B375" s="14" t="s">
        <v>36</v>
      </c>
      <c r="C375" s="18">
        <v>58072.85</v>
      </c>
      <c r="D375" s="18"/>
      <c r="E375" s="18"/>
      <c r="F375" s="18"/>
      <c r="G375" s="18"/>
      <c r="H375" s="18"/>
      <c r="I375" s="18"/>
      <c r="J375" s="18"/>
      <c r="K375" s="18"/>
      <c r="L375" s="18"/>
      <c r="M375" s="93"/>
      <c r="N375" s="18"/>
      <c r="O375" s="460"/>
      <c r="P375" s="9"/>
    </row>
    <row r="376" spans="1:17" s="83" customFormat="1" ht="15.75" customHeight="1" x14ac:dyDescent="0.25">
      <c r="A376" s="498"/>
      <c r="B376" s="82" t="s">
        <v>37</v>
      </c>
      <c r="C376" s="84">
        <v>47810.8</v>
      </c>
      <c r="D376" s="84"/>
      <c r="E376" s="84"/>
      <c r="F376" s="473"/>
      <c r="G376" s="84"/>
      <c r="H376" s="84"/>
      <c r="I376" s="84"/>
      <c r="J376" s="84"/>
      <c r="K376" s="84"/>
      <c r="L376" s="84"/>
      <c r="M376" s="84"/>
      <c r="N376" s="84"/>
      <c r="O376" s="499"/>
      <c r="P376" s="77"/>
    </row>
    <row r="377" spans="1:17" ht="15.75" customHeight="1" x14ac:dyDescent="0.25">
      <c r="A377" s="446"/>
      <c r="B377" s="263" t="s">
        <v>38</v>
      </c>
      <c r="C377" s="474">
        <f>C375/C374</f>
        <v>0.54845908693174061</v>
      </c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460"/>
      <c r="P377" s="9"/>
    </row>
    <row r="378" spans="1:17" ht="15.75" customHeight="1" x14ac:dyDescent="0.25">
      <c r="A378" s="446"/>
      <c r="B378" s="126" t="s">
        <v>42</v>
      </c>
      <c r="D378" s="475"/>
      <c r="E378" s="475"/>
      <c r="F378" s="475"/>
      <c r="G378" s="475"/>
      <c r="H378" s="475"/>
      <c r="I378" s="475"/>
      <c r="J378" s="475"/>
      <c r="K378" s="475"/>
      <c r="M378" s="192"/>
      <c r="N378" s="85"/>
      <c r="O378" s="460"/>
      <c r="P378" s="9"/>
    </row>
    <row r="379" spans="1:17" ht="15.75" customHeight="1" x14ac:dyDescent="0.25">
      <c r="A379" s="446"/>
      <c r="B379" s="82" t="s">
        <v>37</v>
      </c>
      <c r="D379" s="476"/>
      <c r="E379" s="476"/>
      <c r="F379" s="476"/>
      <c r="G379" s="476"/>
      <c r="H379" s="476"/>
      <c r="I379" s="476"/>
      <c r="J379" s="476"/>
      <c r="K379" s="476"/>
      <c r="L379" s="476"/>
      <c r="M379" s="85"/>
      <c r="N379" s="85"/>
      <c r="O379" s="500"/>
      <c r="Q379" s="9"/>
    </row>
    <row r="380" spans="1:17" ht="15.75" customHeight="1" thickBot="1" x14ac:dyDescent="0.3">
      <c r="A380" s="461"/>
      <c r="B380" s="535"/>
      <c r="C380" s="492"/>
      <c r="D380" s="536"/>
      <c r="E380" s="536"/>
      <c r="F380" s="536"/>
      <c r="G380" s="536"/>
      <c r="H380" s="536"/>
      <c r="I380" s="536"/>
      <c r="J380" s="536"/>
      <c r="K380" s="536"/>
      <c r="L380" s="536"/>
      <c r="M380" s="537"/>
      <c r="N380" s="537"/>
      <c r="O380" s="538"/>
      <c r="Q380" s="9"/>
    </row>
    <row r="381" spans="1:17" ht="15.75" customHeight="1" x14ac:dyDescent="0.25">
      <c r="A381" s="502" t="s">
        <v>647</v>
      </c>
      <c r="B381" s="503" t="s">
        <v>45</v>
      </c>
      <c r="C381" s="539">
        <v>185</v>
      </c>
      <c r="D381" s="539"/>
      <c r="E381" s="539"/>
      <c r="F381" s="539"/>
      <c r="G381" s="539"/>
      <c r="H381" s="539"/>
      <c r="I381" s="539"/>
      <c r="J381" s="539"/>
      <c r="K381" s="540"/>
      <c r="L381" s="539"/>
      <c r="M381" s="539"/>
      <c r="N381" s="539"/>
      <c r="O381" s="445"/>
    </row>
    <row r="382" spans="1:17" ht="15.75" customHeight="1" thickBot="1" x14ac:dyDescent="0.3">
      <c r="A382" s="541"/>
      <c r="B382" s="462"/>
      <c r="C382" s="542"/>
      <c r="D382" s="542"/>
      <c r="E382" s="542"/>
      <c r="F382" s="542"/>
      <c r="G382" s="542"/>
      <c r="H382" s="542"/>
      <c r="I382" s="542"/>
      <c r="J382" s="542"/>
      <c r="K382" s="543"/>
      <c r="L382" s="542"/>
      <c r="M382" s="542"/>
      <c r="N382" s="542"/>
      <c r="O382" s="464"/>
    </row>
    <row r="383" spans="1:17" ht="15.75" customHeight="1" x14ac:dyDescent="0.25">
      <c r="A383" s="502" t="s">
        <v>648</v>
      </c>
      <c r="B383" s="503" t="s">
        <v>44</v>
      </c>
      <c r="C383" s="544">
        <v>0.12</v>
      </c>
      <c r="D383" s="545"/>
      <c r="E383" s="545"/>
      <c r="F383" s="546"/>
      <c r="G383" s="546"/>
      <c r="H383" s="546"/>
      <c r="I383" s="544"/>
      <c r="J383" s="544"/>
      <c r="K383" s="544"/>
      <c r="L383" s="544"/>
      <c r="M383" s="547"/>
      <c r="N383" s="509"/>
      <c r="O383" s="445"/>
    </row>
    <row r="384" spans="1:17" ht="12.75" customHeight="1" thickBot="1" x14ac:dyDescent="0.3">
      <c r="A384" s="461"/>
      <c r="B384" s="462"/>
      <c r="C384" s="492"/>
      <c r="D384" s="492"/>
      <c r="E384" s="492"/>
      <c r="F384" s="492"/>
      <c r="G384" s="492"/>
      <c r="H384" s="492"/>
      <c r="I384" s="492"/>
      <c r="J384" s="492"/>
      <c r="K384" s="492"/>
      <c r="L384" s="492"/>
      <c r="M384" s="492"/>
      <c r="N384" s="492"/>
      <c r="O384" s="464"/>
    </row>
    <row r="385" spans="1:16" s="311" customFormat="1" ht="21" x14ac:dyDescent="0.25">
      <c r="A385" s="502" t="s">
        <v>649</v>
      </c>
      <c r="B385" s="503" t="s">
        <v>43</v>
      </c>
      <c r="C385" s="548">
        <f>C351+C376</f>
        <v>129589.45999999999</v>
      </c>
      <c r="D385" s="548"/>
      <c r="E385" s="549"/>
      <c r="F385" s="550"/>
      <c r="G385" s="550"/>
      <c r="H385" s="548"/>
      <c r="I385" s="551"/>
      <c r="J385" s="551"/>
      <c r="K385" s="551"/>
      <c r="L385" s="551"/>
      <c r="M385" s="551"/>
      <c r="N385" s="551"/>
      <c r="O385" s="552"/>
      <c r="P385" s="310"/>
    </row>
    <row r="386" spans="1:16" s="311" customFormat="1" ht="21.75" thickBot="1" x14ac:dyDescent="0.3">
      <c r="A386" s="553"/>
      <c r="B386" s="554"/>
      <c r="C386" s="555"/>
      <c r="D386" s="555"/>
      <c r="E386" s="556"/>
      <c r="F386" s="557"/>
      <c r="G386" s="557"/>
      <c r="H386" s="555"/>
      <c r="I386" s="558"/>
      <c r="J386" s="558"/>
      <c r="K386" s="558"/>
      <c r="L386" s="558"/>
      <c r="M386" s="558"/>
      <c r="N386" s="558"/>
      <c r="O386" s="559"/>
      <c r="P386" s="310"/>
    </row>
    <row r="387" spans="1:16" s="353" customFormat="1" ht="15.75" customHeight="1" x14ac:dyDescent="0.25">
      <c r="A387" s="502" t="s">
        <v>650</v>
      </c>
      <c r="B387" s="560" t="s">
        <v>660</v>
      </c>
      <c r="C387" s="561">
        <f>C351/4</f>
        <v>20444.664999999997</v>
      </c>
      <c r="D387" s="561"/>
      <c r="E387" s="561"/>
      <c r="F387" s="561"/>
      <c r="G387" s="561"/>
      <c r="H387" s="561"/>
      <c r="I387" s="561"/>
      <c r="J387" s="561"/>
      <c r="K387" s="561"/>
      <c r="L387" s="561"/>
      <c r="M387" s="562"/>
      <c r="N387" s="562"/>
      <c r="O387" s="563"/>
      <c r="P387" s="354"/>
    </row>
    <row r="388" spans="1:16" ht="15.75" customHeight="1" thickBot="1" x14ac:dyDescent="0.3">
      <c r="A388" s="461"/>
      <c r="B388" s="462"/>
      <c r="C388" s="564"/>
      <c r="D388" s="564"/>
      <c r="E388" s="564"/>
      <c r="F388" s="564"/>
      <c r="G388" s="564"/>
      <c r="H388" s="564"/>
      <c r="I388" s="564"/>
      <c r="J388" s="537"/>
      <c r="K388" s="537"/>
      <c r="L388" s="537"/>
      <c r="M388" s="537"/>
      <c r="N388" s="537"/>
      <c r="O388" s="464"/>
      <c r="P388" s="9"/>
    </row>
    <row r="389" spans="1:16" ht="15.75" customHeight="1" x14ac:dyDescent="0.25">
      <c r="A389" s="487" t="s">
        <v>651</v>
      </c>
      <c r="B389" s="23" t="s">
        <v>66</v>
      </c>
      <c r="C389" s="243" t="s">
        <v>480</v>
      </c>
      <c r="D389" s="346"/>
      <c r="E389" s="235"/>
      <c r="F389" s="195"/>
      <c r="G389" s="212"/>
      <c r="H389" s="212"/>
      <c r="O389" s="460"/>
    </row>
    <row r="390" spans="1:16" ht="15.75" customHeight="1" x14ac:dyDescent="0.25">
      <c r="A390" s="446"/>
      <c r="C390" s="243" t="s">
        <v>387</v>
      </c>
      <c r="D390" s="194"/>
      <c r="E390" s="323"/>
      <c r="F390" s="195"/>
      <c r="G390" s="212"/>
      <c r="H390" s="212"/>
      <c r="I390" s="333"/>
      <c r="J390" s="212"/>
      <c r="K390" s="212"/>
      <c r="L390" s="212"/>
      <c r="M390" s="212"/>
      <c r="O390" s="460"/>
    </row>
    <row r="391" spans="1:16" ht="15.75" customHeight="1" x14ac:dyDescent="0.25">
      <c r="A391" s="446"/>
      <c r="B391" s="183"/>
      <c r="C391" s="477" t="s">
        <v>191</v>
      </c>
      <c r="D391" s="194"/>
      <c r="E391" s="323"/>
      <c r="F391" s="195"/>
      <c r="G391" s="212"/>
      <c r="H391" s="212"/>
      <c r="I391" s="212"/>
      <c r="J391" s="212"/>
      <c r="K391" s="212"/>
      <c r="L391" s="212"/>
      <c r="M391" s="80"/>
      <c r="O391" s="460"/>
    </row>
    <row r="392" spans="1:16" x14ac:dyDescent="0.25">
      <c r="A392" s="446"/>
      <c r="C392" s="243" t="s">
        <v>481</v>
      </c>
      <c r="D392" s="194"/>
      <c r="E392" s="323"/>
      <c r="F392" s="194"/>
      <c r="G392" s="212"/>
      <c r="H392" s="194"/>
      <c r="I392" s="212"/>
      <c r="J392" s="194"/>
      <c r="K392" s="212"/>
      <c r="L392" s="194"/>
      <c r="M392" s="212"/>
      <c r="O392" s="460"/>
    </row>
    <row r="393" spans="1:16" ht="15.75" customHeight="1" x14ac:dyDescent="0.25">
      <c r="A393" s="446"/>
      <c r="B393" s="156"/>
      <c r="C393" s="243" t="s">
        <v>482</v>
      </c>
      <c r="D393" s="194"/>
      <c r="E393" s="323"/>
      <c r="F393" s="347"/>
      <c r="G393" s="212"/>
      <c r="H393" s="194"/>
      <c r="I393" s="212"/>
      <c r="J393" s="194"/>
      <c r="K393" s="212"/>
      <c r="L393" s="194"/>
      <c r="M393" s="212"/>
      <c r="O393" s="460"/>
    </row>
    <row r="394" spans="1:16" ht="15.75" customHeight="1" x14ac:dyDescent="0.25">
      <c r="A394" s="446"/>
      <c r="B394" s="36"/>
      <c r="C394" s="194" t="s">
        <v>483</v>
      </c>
      <c r="D394" s="195"/>
      <c r="E394" s="323"/>
      <c r="F394" s="194"/>
      <c r="G394" s="212"/>
      <c r="H394" s="212"/>
      <c r="I394" s="212"/>
      <c r="J394" s="212"/>
      <c r="K394" s="212"/>
      <c r="L394" s="212"/>
      <c r="M394" s="212"/>
      <c r="O394" s="460"/>
    </row>
    <row r="395" spans="1:16" ht="15.75" customHeight="1" x14ac:dyDescent="0.25">
      <c r="A395" s="446"/>
      <c r="B395" s="36"/>
      <c r="C395" s="194" t="s">
        <v>484</v>
      </c>
      <c r="D395" s="195"/>
      <c r="E395" s="323"/>
      <c r="F395" s="194"/>
      <c r="G395" s="194"/>
      <c r="H395" s="347"/>
      <c r="I395" s="212"/>
      <c r="J395" s="194"/>
      <c r="K395" s="212"/>
      <c r="L395" s="212"/>
      <c r="M395" s="212"/>
      <c r="O395" s="460"/>
    </row>
    <row r="396" spans="1:16" ht="15.75" customHeight="1" x14ac:dyDescent="0.25">
      <c r="A396" s="446"/>
      <c r="B396" s="36"/>
      <c r="C396" s="194" t="s">
        <v>485</v>
      </c>
      <c r="D396" s="195"/>
      <c r="E396" s="323"/>
      <c r="F396" s="194"/>
      <c r="G396" s="194"/>
      <c r="H396" s="194"/>
      <c r="I396" s="212"/>
      <c r="J396" s="194"/>
      <c r="K396" s="212"/>
      <c r="L396" s="212"/>
      <c r="M396" s="212"/>
      <c r="O396" s="460"/>
    </row>
    <row r="397" spans="1:16" ht="15.75" customHeight="1" x14ac:dyDescent="0.25">
      <c r="A397" s="446"/>
      <c r="B397" s="36"/>
      <c r="C397" s="194" t="s">
        <v>486</v>
      </c>
      <c r="D397" s="195"/>
      <c r="E397" s="478"/>
      <c r="F397" s="194"/>
      <c r="G397" s="194"/>
      <c r="H397" s="194"/>
      <c r="I397" s="212"/>
      <c r="J397" s="194"/>
      <c r="K397" s="212"/>
      <c r="L397" s="212"/>
      <c r="M397" s="212"/>
      <c r="O397" s="460"/>
    </row>
    <row r="398" spans="1:16" ht="15.75" thickBot="1" x14ac:dyDescent="0.3">
      <c r="A398" s="461"/>
      <c r="B398" s="492"/>
      <c r="C398" s="492"/>
      <c r="D398" s="492"/>
      <c r="E398" s="501"/>
      <c r="F398" s="492"/>
      <c r="G398" s="501"/>
      <c r="H398" s="492"/>
      <c r="I398" s="501"/>
      <c r="J398" s="492"/>
      <c r="K398" s="492"/>
      <c r="L398" s="492"/>
      <c r="M398" s="492" t="e">
        <f>SUM(N408+N417+N424+N431+#REF!+#REF!+#REF!+N465+N478+N489+N500+N513)</f>
        <v>#DIV/0!</v>
      </c>
      <c r="N398" s="492"/>
      <c r="O398" s="464"/>
    </row>
    <row r="399" spans="1:16" x14ac:dyDescent="0.25">
      <c r="A399" s="466" t="s">
        <v>652</v>
      </c>
      <c r="B399" t="s">
        <v>263</v>
      </c>
      <c r="C399" t="s">
        <v>264</v>
      </c>
      <c r="D399" t="s">
        <v>265</v>
      </c>
      <c r="E399" s="288" t="s">
        <v>266</v>
      </c>
      <c r="F399" t="s">
        <v>265</v>
      </c>
      <c r="G399" s="288" t="s">
        <v>267</v>
      </c>
      <c r="H399" t="s">
        <v>268</v>
      </c>
      <c r="I399" s="288" t="s">
        <v>471</v>
      </c>
      <c r="J399" s="573" t="s">
        <v>270</v>
      </c>
      <c r="K399" s="574" t="s">
        <v>462</v>
      </c>
      <c r="L399" s="573" t="s">
        <v>458</v>
      </c>
      <c r="N399" s="288" t="s">
        <v>459</v>
      </c>
      <c r="O399" t="s">
        <v>460</v>
      </c>
      <c r="P399" t="s">
        <v>461</v>
      </c>
    </row>
    <row r="400" spans="1:16" x14ac:dyDescent="0.25">
      <c r="B400" s="693" t="s">
        <v>271</v>
      </c>
      <c r="C400" t="s">
        <v>286</v>
      </c>
      <c r="D400">
        <v>33</v>
      </c>
      <c r="E400" s="288">
        <v>7307.48</v>
      </c>
      <c r="F400">
        <v>96</v>
      </c>
      <c r="G400" s="288">
        <v>12479.14</v>
      </c>
      <c r="H400">
        <f>D400+F400</f>
        <v>129</v>
      </c>
      <c r="I400" s="288">
        <f>E400+G400</f>
        <v>19786.62</v>
      </c>
      <c r="J400" s="575">
        <f>G400/I400</f>
        <v>0.63068578665785269</v>
      </c>
      <c r="K400" s="576">
        <f>(G400*0.005)*J400</f>
        <v>39.352081138567378</v>
      </c>
      <c r="L400" s="575">
        <v>0.15</v>
      </c>
      <c r="N400" s="288">
        <f>K400-M400</f>
        <v>39.352081138567378</v>
      </c>
    </row>
    <row r="401" spans="1:16" x14ac:dyDescent="0.25">
      <c r="B401" s="693"/>
      <c r="C401" t="s">
        <v>472</v>
      </c>
      <c r="D401">
        <v>15</v>
      </c>
      <c r="E401" s="288">
        <v>3375.26</v>
      </c>
      <c r="F401">
        <v>65</v>
      </c>
      <c r="G401" s="288">
        <v>9044.7800000000007</v>
      </c>
      <c r="H401">
        <f t="shared" ref="H401:H405" si="133">D401+F401</f>
        <v>80</v>
      </c>
      <c r="I401" s="288">
        <f t="shared" ref="I401:I408" si="134">E401+G401</f>
        <v>12420.04</v>
      </c>
      <c r="J401" s="575">
        <f t="shared" ref="J401:J408" si="135">G401/I401</f>
        <v>0.72824081081864467</v>
      </c>
      <c r="K401" s="576">
        <f>(G401*0.005)*J401</f>
        <v>32.933889604381314</v>
      </c>
      <c r="L401" s="575">
        <v>0.15</v>
      </c>
      <c r="N401" s="288">
        <f t="shared" ref="N401:N404" si="136">K401-M401</f>
        <v>32.933889604381314</v>
      </c>
    </row>
    <row r="402" spans="1:16" x14ac:dyDescent="0.25">
      <c r="B402" s="693"/>
      <c r="C402" t="s">
        <v>362</v>
      </c>
      <c r="D402">
        <v>53</v>
      </c>
      <c r="E402" s="288">
        <v>11924.77</v>
      </c>
      <c r="F402">
        <v>92</v>
      </c>
      <c r="G402" s="288">
        <v>13208.58</v>
      </c>
      <c r="H402">
        <f t="shared" si="133"/>
        <v>145</v>
      </c>
      <c r="I402" s="288">
        <f t="shared" si="134"/>
        <v>25133.35</v>
      </c>
      <c r="J402" s="575">
        <f t="shared" si="135"/>
        <v>0.52553996980108109</v>
      </c>
      <c r="K402" s="576">
        <f t="shared" ref="K402" si="137">(G402*0.005)*J402</f>
        <v>34.708183671575817</v>
      </c>
      <c r="L402" s="575">
        <v>0.15</v>
      </c>
      <c r="N402" s="288">
        <f t="shared" si="136"/>
        <v>34.708183671575817</v>
      </c>
    </row>
    <row r="403" spans="1:16" x14ac:dyDescent="0.25">
      <c r="B403" s="693"/>
      <c r="C403" t="s">
        <v>473</v>
      </c>
      <c r="D403">
        <v>15</v>
      </c>
      <c r="E403" s="288">
        <v>4134.97</v>
      </c>
      <c r="F403">
        <v>54</v>
      </c>
      <c r="G403" s="288">
        <v>6153.54</v>
      </c>
      <c r="H403">
        <f t="shared" si="133"/>
        <v>69</v>
      </c>
      <c r="I403" s="288">
        <f t="shared" si="134"/>
        <v>10288.51</v>
      </c>
      <c r="J403" s="575">
        <f t="shared" si="135"/>
        <v>0.59809826690162127</v>
      </c>
      <c r="K403" s="576">
        <f>(G403*0.005)*J403</f>
        <v>18.402108046549014</v>
      </c>
      <c r="L403" s="575">
        <v>0.15</v>
      </c>
      <c r="N403" s="288">
        <f t="shared" si="136"/>
        <v>18.402108046549014</v>
      </c>
    </row>
    <row r="404" spans="1:16" x14ac:dyDescent="0.25">
      <c r="B404" s="693"/>
      <c r="C404" t="s">
        <v>474</v>
      </c>
      <c r="D404">
        <v>11</v>
      </c>
      <c r="E404" s="288">
        <v>4159.76</v>
      </c>
      <c r="F404">
        <v>41</v>
      </c>
      <c r="G404" s="288">
        <v>3686.58</v>
      </c>
      <c r="H404">
        <f t="shared" si="133"/>
        <v>52</v>
      </c>
      <c r="I404" s="288">
        <f t="shared" si="134"/>
        <v>7846.34</v>
      </c>
      <c r="J404" s="575">
        <f t="shared" si="135"/>
        <v>0.46984708794163904</v>
      </c>
      <c r="K404" s="576">
        <f t="shared" ref="K404" si="138">(G404*0.005)*J404</f>
        <v>8.6606443873194383</v>
      </c>
      <c r="L404" s="575">
        <v>0.15</v>
      </c>
      <c r="N404" s="288">
        <f t="shared" si="136"/>
        <v>8.6606443873194383</v>
      </c>
    </row>
    <row r="405" spans="1:16" x14ac:dyDescent="0.25">
      <c r="B405" s="30"/>
      <c r="C405" t="s">
        <v>475</v>
      </c>
      <c r="D405">
        <v>13</v>
      </c>
      <c r="E405" s="288">
        <v>4540.6899999999996</v>
      </c>
      <c r="F405">
        <v>33</v>
      </c>
      <c r="G405" s="288">
        <v>7243.41</v>
      </c>
      <c r="H405">
        <f t="shared" si="133"/>
        <v>46</v>
      </c>
      <c r="I405" s="288">
        <f t="shared" si="134"/>
        <v>11784.099999999999</v>
      </c>
      <c r="J405" s="575">
        <f t="shared" si="135"/>
        <v>0.614676555697932</v>
      </c>
      <c r="K405" s="576">
        <f>(G405*0.005)*J405</f>
        <v>22.261771551539788</v>
      </c>
      <c r="L405" s="575">
        <v>0.15</v>
      </c>
      <c r="N405" s="288">
        <f>K405-M405</f>
        <v>22.261771551539788</v>
      </c>
    </row>
    <row r="406" spans="1:16" x14ac:dyDescent="0.25">
      <c r="B406" s="30"/>
      <c r="C406" t="s">
        <v>476</v>
      </c>
      <c r="D406">
        <v>0</v>
      </c>
      <c r="E406" s="288">
        <v>0</v>
      </c>
      <c r="F406">
        <v>1</v>
      </c>
      <c r="G406" s="288">
        <v>69.3</v>
      </c>
      <c r="H406">
        <v>1</v>
      </c>
      <c r="I406" s="288">
        <f t="shared" si="134"/>
        <v>69.3</v>
      </c>
      <c r="J406" s="575">
        <f t="shared" si="135"/>
        <v>1</v>
      </c>
      <c r="K406" s="576">
        <f t="shared" ref="K406:K408" si="139">(G406*0.005)*J406</f>
        <v>0.34649999999999997</v>
      </c>
      <c r="L406" s="575">
        <v>0.15</v>
      </c>
      <c r="N406" s="288"/>
    </row>
    <row r="407" spans="1:16" x14ac:dyDescent="0.25">
      <c r="B407" s="30"/>
      <c r="C407" t="s">
        <v>477</v>
      </c>
      <c r="D407">
        <v>13</v>
      </c>
      <c r="E407" s="288">
        <v>3237.63</v>
      </c>
      <c r="F407">
        <v>16</v>
      </c>
      <c r="G407" s="288">
        <v>1465.36</v>
      </c>
      <c r="H407">
        <v>29</v>
      </c>
      <c r="I407" s="288">
        <f t="shared" si="134"/>
        <v>4702.99</v>
      </c>
      <c r="J407" s="575">
        <f t="shared" si="135"/>
        <v>0.31158050516798885</v>
      </c>
      <c r="K407" s="576">
        <f t="shared" si="139"/>
        <v>2.2828880452648206</v>
      </c>
      <c r="L407" s="575">
        <v>0.15</v>
      </c>
      <c r="N407" s="288"/>
    </row>
    <row r="408" spans="1:16" s="264" customFormat="1" ht="15.75" thickBot="1" x14ac:dyDescent="0.3">
      <c r="A408" s="479"/>
      <c r="B408" s="480" t="s">
        <v>675</v>
      </c>
      <c r="C408" s="479"/>
      <c r="D408" s="479"/>
      <c r="E408" s="481">
        <f>SUM(E400:E407)</f>
        <v>38680.560000000005</v>
      </c>
      <c r="F408" s="479"/>
      <c r="G408" s="481">
        <f>SUM(G400:G407)</f>
        <v>53350.69</v>
      </c>
      <c r="H408" s="479"/>
      <c r="I408" s="479">
        <f t="shared" si="134"/>
        <v>92031.25</v>
      </c>
      <c r="J408" s="482">
        <f t="shared" si="135"/>
        <v>0.57970189473684208</v>
      </c>
      <c r="K408" s="482">
        <f t="shared" si="139"/>
        <v>154.63748039258948</v>
      </c>
      <c r="L408" s="482">
        <v>0.15</v>
      </c>
      <c r="M408" s="479" t="s">
        <v>463</v>
      </c>
      <c r="N408" s="479">
        <f>SUM(N400:N405)</f>
        <v>156.31867839993276</v>
      </c>
      <c r="O408" s="479"/>
    </row>
    <row r="409" spans="1:16" s="264" customFormat="1" hidden="1" x14ac:dyDescent="0.25">
      <c r="A409" s="479"/>
      <c r="B409" s="479"/>
      <c r="C409" s="483" t="s">
        <v>264</v>
      </c>
      <c r="D409" s="483" t="s">
        <v>265</v>
      </c>
      <c r="E409" s="483" t="s">
        <v>266</v>
      </c>
      <c r="F409" s="483" t="s">
        <v>265</v>
      </c>
      <c r="G409" s="483" t="s">
        <v>267</v>
      </c>
      <c r="H409" s="483" t="s">
        <v>268</v>
      </c>
      <c r="I409" s="483" t="s">
        <v>269</v>
      </c>
      <c r="J409" s="484" t="s">
        <v>270</v>
      </c>
      <c r="K409" s="484" t="s">
        <v>462</v>
      </c>
      <c r="L409" s="484" t="s">
        <v>458</v>
      </c>
      <c r="M409" s="483"/>
      <c r="N409" s="483" t="s">
        <v>459</v>
      </c>
      <c r="O409" s="483" t="s">
        <v>460</v>
      </c>
      <c r="P409" s="438" t="s">
        <v>461</v>
      </c>
    </row>
    <row r="410" spans="1:16" s="264" customFormat="1" hidden="1" x14ac:dyDescent="0.25">
      <c r="A410" s="479"/>
      <c r="B410" s="694" t="s">
        <v>272</v>
      </c>
      <c r="C410" s="479"/>
      <c r="D410" s="479"/>
      <c r="E410" s="479"/>
      <c r="F410" s="479"/>
      <c r="G410" s="479"/>
      <c r="H410" s="479"/>
      <c r="I410" s="479"/>
      <c r="J410" s="482" t="e">
        <f>G410/I410</f>
        <v>#DIV/0!</v>
      </c>
      <c r="K410" s="482" t="e">
        <f>(G410*0.005)*J410</f>
        <v>#DIV/0!</v>
      </c>
      <c r="L410" s="482">
        <v>0.15</v>
      </c>
      <c r="M410" s="479"/>
      <c r="N410" s="479" t="e">
        <f>K410-M410</f>
        <v>#DIV/0!</v>
      </c>
      <c r="O410" s="479"/>
    </row>
    <row r="411" spans="1:16" s="264" customFormat="1" hidden="1" x14ac:dyDescent="0.25">
      <c r="A411" s="479"/>
      <c r="B411" s="694"/>
      <c r="C411" s="479"/>
      <c r="D411" s="479"/>
      <c r="E411" s="479"/>
      <c r="F411" s="479"/>
      <c r="G411" s="479"/>
      <c r="H411" s="479"/>
      <c r="I411" s="479"/>
      <c r="J411" s="482" t="e">
        <f t="shared" ref="J411:J414" si="140">G411/I411</f>
        <v>#DIV/0!</v>
      </c>
      <c r="K411" s="482" t="e">
        <f>(G411*0.005)*J411</f>
        <v>#DIV/0!</v>
      </c>
      <c r="L411" s="482">
        <v>0.15</v>
      </c>
      <c r="M411" s="479"/>
      <c r="N411" s="479" t="e">
        <f t="shared" ref="N411:N414" si="141">K411-M411</f>
        <v>#DIV/0!</v>
      </c>
      <c r="O411" s="479"/>
    </row>
    <row r="412" spans="1:16" s="264" customFormat="1" hidden="1" x14ac:dyDescent="0.25">
      <c r="A412" s="479"/>
      <c r="B412" s="694"/>
      <c r="C412" s="479"/>
      <c r="D412" s="479"/>
      <c r="E412" s="479"/>
      <c r="F412" s="479"/>
      <c r="G412" s="479"/>
      <c r="H412" s="479"/>
      <c r="I412" s="479"/>
      <c r="J412" s="482" t="e">
        <f t="shared" si="140"/>
        <v>#DIV/0!</v>
      </c>
      <c r="K412" s="482" t="e">
        <f t="shared" ref="K412" si="142">(G412*0.005)*J412</f>
        <v>#DIV/0!</v>
      </c>
      <c r="L412" s="482">
        <v>0.15</v>
      </c>
      <c r="M412" s="479"/>
      <c r="N412" s="479" t="e">
        <f t="shared" si="141"/>
        <v>#DIV/0!</v>
      </c>
      <c r="O412" s="479"/>
    </row>
    <row r="413" spans="1:16" s="264" customFormat="1" hidden="1" x14ac:dyDescent="0.25">
      <c r="A413" s="479"/>
      <c r="B413" s="694"/>
      <c r="C413" s="479"/>
      <c r="D413" s="479"/>
      <c r="E413" s="479"/>
      <c r="F413" s="479"/>
      <c r="G413" s="479"/>
      <c r="H413" s="479"/>
      <c r="I413" s="479"/>
      <c r="J413" s="482" t="e">
        <f t="shared" si="140"/>
        <v>#DIV/0!</v>
      </c>
      <c r="K413" s="482" t="e">
        <f>(G413*0.005)*J413</f>
        <v>#DIV/0!</v>
      </c>
      <c r="L413" s="482">
        <v>0.15</v>
      </c>
      <c r="M413" s="479"/>
      <c r="N413" s="479" t="e">
        <f t="shared" si="141"/>
        <v>#DIV/0!</v>
      </c>
      <c r="O413" s="479"/>
    </row>
    <row r="414" spans="1:16" s="264" customFormat="1" hidden="1" x14ac:dyDescent="0.25">
      <c r="A414" s="479"/>
      <c r="B414" s="694"/>
      <c r="C414" s="479"/>
      <c r="D414" s="479"/>
      <c r="E414" s="479"/>
      <c r="F414" s="479"/>
      <c r="G414" s="479"/>
      <c r="H414" s="479"/>
      <c r="I414" s="479"/>
      <c r="J414" s="482" t="e">
        <f t="shared" si="140"/>
        <v>#DIV/0!</v>
      </c>
      <c r="K414" s="482" t="e">
        <f t="shared" ref="K414" si="143">(G414*0.005)*J414</f>
        <v>#DIV/0!</v>
      </c>
      <c r="L414" s="482">
        <v>0.15</v>
      </c>
      <c r="M414" s="479"/>
      <c r="N414" s="479" t="e">
        <f t="shared" si="141"/>
        <v>#DIV/0!</v>
      </c>
      <c r="O414" s="479"/>
    </row>
    <row r="415" spans="1:16" s="264" customFormat="1" hidden="1" x14ac:dyDescent="0.25">
      <c r="A415" s="479"/>
      <c r="B415" s="485"/>
      <c r="C415" s="479"/>
      <c r="D415" s="479"/>
      <c r="E415" s="479"/>
      <c r="F415" s="479"/>
      <c r="G415" s="479"/>
      <c r="H415" s="479"/>
      <c r="I415" s="479"/>
      <c r="J415" s="482"/>
      <c r="K415" s="482"/>
      <c r="L415" s="482"/>
      <c r="M415" s="479"/>
      <c r="N415" s="479"/>
      <c r="O415" s="479"/>
    </row>
    <row r="416" spans="1:16" s="264" customFormat="1" hidden="1" x14ac:dyDescent="0.25">
      <c r="A416" s="479"/>
      <c r="B416" s="485"/>
      <c r="C416" s="479"/>
      <c r="D416" s="479"/>
      <c r="E416" s="479"/>
      <c r="F416" s="479"/>
      <c r="G416" s="479"/>
      <c r="H416" s="479"/>
      <c r="I416" s="479"/>
      <c r="J416" s="482"/>
      <c r="K416" s="482"/>
      <c r="L416" s="482"/>
      <c r="M416" s="479"/>
      <c r="N416" s="479"/>
      <c r="O416" s="479"/>
    </row>
    <row r="417" spans="1:16" s="264" customFormat="1" hidden="1" x14ac:dyDescent="0.25">
      <c r="A417" s="479"/>
      <c r="B417" s="479"/>
      <c r="C417" s="479"/>
      <c r="D417" s="479"/>
      <c r="E417" s="481">
        <f>SUM(E410:E415)</f>
        <v>0</v>
      </c>
      <c r="F417" s="479"/>
      <c r="G417" s="481">
        <f>SUM(G410:G415)</f>
        <v>0</v>
      </c>
      <c r="H417" s="479"/>
      <c r="I417" s="479"/>
      <c r="J417" s="482"/>
      <c r="K417" s="482"/>
      <c r="L417" s="482"/>
      <c r="M417" s="479" t="s">
        <v>463</v>
      </c>
      <c r="N417" s="479" t="e">
        <f>SUM(N410:N414)</f>
        <v>#DIV/0!</v>
      </c>
      <c r="O417" s="479"/>
    </row>
    <row r="418" spans="1:16" s="264" customFormat="1" hidden="1" x14ac:dyDescent="0.25">
      <c r="A418" s="479"/>
      <c r="B418" s="479"/>
      <c r="C418" s="483" t="s">
        <v>264</v>
      </c>
      <c r="D418" s="483" t="s">
        <v>265</v>
      </c>
      <c r="E418" s="483" t="s">
        <v>266</v>
      </c>
      <c r="F418" s="483" t="s">
        <v>265</v>
      </c>
      <c r="G418" s="483" t="s">
        <v>267</v>
      </c>
      <c r="H418" s="483" t="s">
        <v>268</v>
      </c>
      <c r="I418" s="483" t="s">
        <v>269</v>
      </c>
      <c r="J418" s="484" t="s">
        <v>270</v>
      </c>
      <c r="K418" s="484" t="s">
        <v>462</v>
      </c>
      <c r="L418" s="484" t="s">
        <v>458</v>
      </c>
      <c r="M418" s="483"/>
      <c r="N418" s="483" t="s">
        <v>459</v>
      </c>
      <c r="O418" s="483" t="s">
        <v>460</v>
      </c>
      <c r="P418" s="438" t="s">
        <v>461</v>
      </c>
    </row>
    <row r="419" spans="1:16" s="264" customFormat="1" hidden="1" x14ac:dyDescent="0.25">
      <c r="A419" s="479"/>
      <c r="B419" s="694" t="s">
        <v>273</v>
      </c>
      <c r="C419" s="479"/>
      <c r="D419" s="479"/>
      <c r="E419" s="479"/>
      <c r="F419" s="479"/>
      <c r="G419" s="479"/>
      <c r="H419" s="479"/>
      <c r="I419" s="479"/>
      <c r="J419" s="482" t="e">
        <f>G419/I419</f>
        <v>#DIV/0!</v>
      </c>
      <c r="K419" s="482" t="e">
        <f>(G419*0.005)*J419</f>
        <v>#DIV/0!</v>
      </c>
      <c r="L419" s="482">
        <v>0.15</v>
      </c>
      <c r="M419" s="479"/>
      <c r="N419" s="479" t="e">
        <f>K419-M419</f>
        <v>#DIV/0!</v>
      </c>
      <c r="O419" s="479"/>
    </row>
    <row r="420" spans="1:16" s="264" customFormat="1" hidden="1" x14ac:dyDescent="0.25">
      <c r="A420" s="479"/>
      <c r="B420" s="694"/>
      <c r="C420" s="479"/>
      <c r="D420" s="479"/>
      <c r="E420" s="479"/>
      <c r="F420" s="479"/>
      <c r="G420" s="479"/>
      <c r="H420" s="479"/>
      <c r="I420" s="479"/>
      <c r="J420" s="482" t="e">
        <f t="shared" ref="J420:J423" si="144">G420/I420</f>
        <v>#DIV/0!</v>
      </c>
      <c r="K420" s="482" t="e">
        <f>(G420*0.005)*J420</f>
        <v>#DIV/0!</v>
      </c>
      <c r="L420" s="482">
        <v>0.15</v>
      </c>
      <c r="M420" s="479"/>
      <c r="N420" s="479" t="e">
        <f t="shared" ref="N420:N423" si="145">K420-M420</f>
        <v>#DIV/0!</v>
      </c>
      <c r="O420" s="479"/>
    </row>
    <row r="421" spans="1:16" s="264" customFormat="1" hidden="1" x14ac:dyDescent="0.25">
      <c r="A421" s="479"/>
      <c r="B421" s="694"/>
      <c r="C421" s="479"/>
      <c r="D421" s="479"/>
      <c r="E421" s="479"/>
      <c r="F421" s="479"/>
      <c r="G421" s="479"/>
      <c r="H421" s="479"/>
      <c r="I421" s="479"/>
      <c r="J421" s="482" t="e">
        <f t="shared" si="144"/>
        <v>#DIV/0!</v>
      </c>
      <c r="K421" s="482" t="e">
        <f t="shared" ref="K421" si="146">(G421*0.005)*J421</f>
        <v>#DIV/0!</v>
      </c>
      <c r="L421" s="482">
        <v>0.15</v>
      </c>
      <c r="M421" s="479"/>
      <c r="N421" s="479" t="e">
        <f t="shared" si="145"/>
        <v>#DIV/0!</v>
      </c>
      <c r="O421" s="479"/>
    </row>
    <row r="422" spans="1:16" s="264" customFormat="1" hidden="1" x14ac:dyDescent="0.25">
      <c r="A422" s="479"/>
      <c r="B422" s="694"/>
      <c r="C422" s="479"/>
      <c r="D422" s="479"/>
      <c r="E422" s="479"/>
      <c r="F422" s="479"/>
      <c r="G422" s="479"/>
      <c r="H422" s="479"/>
      <c r="I422" s="479"/>
      <c r="J422" s="482" t="e">
        <f t="shared" si="144"/>
        <v>#DIV/0!</v>
      </c>
      <c r="K422" s="482" t="e">
        <f>(G422*0.005)*J422</f>
        <v>#DIV/0!</v>
      </c>
      <c r="L422" s="482">
        <v>0.15</v>
      </c>
      <c r="M422" s="479"/>
      <c r="N422" s="479" t="e">
        <f t="shared" si="145"/>
        <v>#DIV/0!</v>
      </c>
      <c r="O422" s="479"/>
    </row>
    <row r="423" spans="1:16" s="264" customFormat="1" hidden="1" x14ac:dyDescent="0.25">
      <c r="A423" s="479"/>
      <c r="B423" s="694"/>
      <c r="C423" s="479"/>
      <c r="D423" s="479"/>
      <c r="E423" s="479"/>
      <c r="F423" s="479"/>
      <c r="G423" s="479"/>
      <c r="H423" s="479"/>
      <c r="I423" s="479"/>
      <c r="J423" s="482" t="e">
        <f t="shared" si="144"/>
        <v>#DIV/0!</v>
      </c>
      <c r="K423" s="482" t="e">
        <f t="shared" ref="K423" si="147">(G423*0.005)*J423</f>
        <v>#DIV/0!</v>
      </c>
      <c r="L423" s="482">
        <v>0.15</v>
      </c>
      <c r="M423" s="479"/>
      <c r="N423" s="479" t="e">
        <f t="shared" si="145"/>
        <v>#DIV/0!</v>
      </c>
      <c r="O423" s="479"/>
    </row>
    <row r="424" spans="1:16" s="264" customFormat="1" hidden="1" x14ac:dyDescent="0.25">
      <c r="A424" s="479"/>
      <c r="B424" s="479"/>
      <c r="C424" s="479"/>
      <c r="D424" s="479"/>
      <c r="E424" s="481">
        <f>SUM(E419:E423)</f>
        <v>0</v>
      </c>
      <c r="F424" s="479"/>
      <c r="G424" s="481">
        <f>SUM(G419:G423)</f>
        <v>0</v>
      </c>
      <c r="H424" s="479"/>
      <c r="I424" s="479"/>
      <c r="J424" s="482"/>
      <c r="K424" s="482"/>
      <c r="L424" s="482"/>
      <c r="M424" s="479" t="s">
        <v>463</v>
      </c>
      <c r="N424" s="479" t="e">
        <f>SUM(N419:N423)</f>
        <v>#DIV/0!</v>
      </c>
      <c r="O424" s="479"/>
    </row>
    <row r="425" spans="1:16" s="264" customFormat="1" hidden="1" x14ac:dyDescent="0.25">
      <c r="A425" s="479"/>
      <c r="B425" s="479"/>
      <c r="C425" s="483" t="s">
        <v>264</v>
      </c>
      <c r="D425" s="483" t="s">
        <v>265</v>
      </c>
      <c r="E425" s="483" t="s">
        <v>266</v>
      </c>
      <c r="F425" s="483" t="s">
        <v>265</v>
      </c>
      <c r="G425" s="483" t="s">
        <v>267</v>
      </c>
      <c r="H425" s="483" t="s">
        <v>268</v>
      </c>
      <c r="I425" s="483" t="s">
        <v>269</v>
      </c>
      <c r="J425" s="484" t="s">
        <v>270</v>
      </c>
      <c r="K425" s="484" t="s">
        <v>462</v>
      </c>
      <c r="L425" s="484" t="s">
        <v>458</v>
      </c>
      <c r="M425" s="483"/>
      <c r="N425" s="483" t="s">
        <v>459</v>
      </c>
      <c r="O425" s="483" t="s">
        <v>460</v>
      </c>
      <c r="P425" s="438" t="s">
        <v>461</v>
      </c>
    </row>
    <row r="426" spans="1:16" s="264" customFormat="1" hidden="1" x14ac:dyDescent="0.25">
      <c r="A426" s="479"/>
      <c r="B426" s="694" t="s">
        <v>274</v>
      </c>
      <c r="C426" s="479"/>
      <c r="D426" s="479"/>
      <c r="E426" s="479"/>
      <c r="F426" s="479"/>
      <c r="G426" s="479"/>
      <c r="H426" s="479"/>
      <c r="I426" s="479"/>
      <c r="J426" s="482" t="e">
        <f>G426/I426</f>
        <v>#DIV/0!</v>
      </c>
      <c r="K426" s="482" t="e">
        <f>(G426*0.005)*J426</f>
        <v>#DIV/0!</v>
      </c>
      <c r="L426" s="482">
        <v>0.15</v>
      </c>
      <c r="M426" s="479"/>
      <c r="N426" s="479" t="e">
        <f>K426-M426</f>
        <v>#DIV/0!</v>
      </c>
      <c r="O426" s="479"/>
    </row>
    <row r="427" spans="1:16" s="264" customFormat="1" hidden="1" x14ac:dyDescent="0.25">
      <c r="A427" s="479"/>
      <c r="B427" s="694"/>
      <c r="C427" s="479"/>
      <c r="D427" s="479"/>
      <c r="E427" s="479"/>
      <c r="F427" s="479"/>
      <c r="G427" s="479"/>
      <c r="H427" s="479"/>
      <c r="I427" s="479"/>
      <c r="J427" s="482" t="e">
        <f t="shared" ref="J427:J429" si="148">G427/I427</f>
        <v>#DIV/0!</v>
      </c>
      <c r="K427" s="482" t="e">
        <f>(G427*0.005)*J427</f>
        <v>#DIV/0!</v>
      </c>
      <c r="L427" s="482">
        <v>0.15</v>
      </c>
      <c r="M427" s="479"/>
      <c r="N427" s="479" t="e">
        <f t="shared" ref="N427:N430" si="149">K427-M427</f>
        <v>#DIV/0!</v>
      </c>
      <c r="O427" s="479"/>
    </row>
    <row r="428" spans="1:16" s="264" customFormat="1" hidden="1" x14ac:dyDescent="0.25">
      <c r="A428" s="479"/>
      <c r="B428" s="694"/>
      <c r="C428" s="479"/>
      <c r="D428" s="479"/>
      <c r="E428" s="479"/>
      <c r="F428" s="479"/>
      <c r="G428" s="479"/>
      <c r="H428" s="479"/>
      <c r="I428" s="479"/>
      <c r="J428" s="482" t="e">
        <f t="shared" si="148"/>
        <v>#DIV/0!</v>
      </c>
      <c r="K428" s="482" t="e">
        <f t="shared" ref="K428" si="150">(G428*0.005)*J428</f>
        <v>#DIV/0!</v>
      </c>
      <c r="L428" s="482">
        <v>0.15</v>
      </c>
      <c r="M428" s="479"/>
      <c r="N428" s="479" t="e">
        <f t="shared" si="149"/>
        <v>#DIV/0!</v>
      </c>
      <c r="O428" s="479"/>
    </row>
    <row r="429" spans="1:16" s="264" customFormat="1" hidden="1" x14ac:dyDescent="0.25">
      <c r="A429" s="479"/>
      <c r="B429" s="694"/>
      <c r="C429" s="479"/>
      <c r="D429" s="479"/>
      <c r="E429" s="479"/>
      <c r="F429" s="479"/>
      <c r="G429" s="479"/>
      <c r="H429" s="479"/>
      <c r="I429" s="479"/>
      <c r="J429" s="482" t="e">
        <f t="shared" si="148"/>
        <v>#DIV/0!</v>
      </c>
      <c r="K429" s="482" t="e">
        <f>(G429*0.005)*J429</f>
        <v>#DIV/0!</v>
      </c>
      <c r="L429" s="482">
        <v>0.15</v>
      </c>
      <c r="M429" s="479"/>
      <c r="N429" s="479" t="e">
        <f t="shared" si="149"/>
        <v>#DIV/0!</v>
      </c>
      <c r="O429" s="479"/>
    </row>
    <row r="430" spans="1:16" s="264" customFormat="1" hidden="1" x14ac:dyDescent="0.25">
      <c r="A430" s="479"/>
      <c r="B430" s="694"/>
      <c r="C430" s="479"/>
      <c r="D430" s="479"/>
      <c r="E430" s="479"/>
      <c r="F430" s="479"/>
      <c r="G430" s="479"/>
      <c r="H430" s="479"/>
      <c r="I430" s="479"/>
      <c r="J430" s="482"/>
      <c r="K430" s="482">
        <f t="shared" ref="K430" si="151">(G430*0.005)*J430</f>
        <v>0</v>
      </c>
      <c r="L430" s="482">
        <v>0.15</v>
      </c>
      <c r="M430" s="479"/>
      <c r="N430" s="479">
        <f t="shared" si="149"/>
        <v>0</v>
      </c>
      <c r="O430" s="479"/>
    </row>
    <row r="431" spans="1:16" s="264" customFormat="1" hidden="1" x14ac:dyDescent="0.25">
      <c r="A431" s="479"/>
      <c r="B431" s="479"/>
      <c r="C431" s="479"/>
      <c r="D431" s="479"/>
      <c r="E431" s="481">
        <f>SUM(E426:E430)</f>
        <v>0</v>
      </c>
      <c r="F431" s="479"/>
      <c r="G431" s="481">
        <f>SUM(G426:G430)</f>
        <v>0</v>
      </c>
      <c r="H431" s="479"/>
      <c r="I431" s="479"/>
      <c r="J431" s="482"/>
      <c r="K431" s="482"/>
      <c r="L431" s="482"/>
      <c r="M431" s="479" t="s">
        <v>463</v>
      </c>
      <c r="N431" s="479" t="e">
        <f>SUM(N426:N430)</f>
        <v>#DIV/0!</v>
      </c>
      <c r="O431" s="479"/>
    </row>
    <row r="432" spans="1:16" s="264" customFormat="1" hidden="1" x14ac:dyDescent="0.25">
      <c r="A432" s="479"/>
      <c r="B432" s="479"/>
      <c r="C432" s="483" t="s">
        <v>264</v>
      </c>
      <c r="D432" s="483" t="s">
        <v>265</v>
      </c>
      <c r="E432" s="483" t="s">
        <v>266</v>
      </c>
      <c r="F432" s="483" t="s">
        <v>265</v>
      </c>
      <c r="G432" s="483" t="s">
        <v>267</v>
      </c>
      <c r="H432" s="483" t="s">
        <v>268</v>
      </c>
      <c r="I432" s="483" t="s">
        <v>269</v>
      </c>
      <c r="J432" s="484" t="s">
        <v>270</v>
      </c>
      <c r="K432" s="484" t="s">
        <v>462</v>
      </c>
      <c r="L432" s="484" t="s">
        <v>458</v>
      </c>
      <c r="M432" s="483"/>
      <c r="N432" s="483" t="s">
        <v>459</v>
      </c>
      <c r="O432" s="483" t="s">
        <v>460</v>
      </c>
      <c r="P432" s="438" t="s">
        <v>461</v>
      </c>
    </row>
    <row r="433" spans="1:16" s="264" customFormat="1" hidden="1" x14ac:dyDescent="0.25">
      <c r="A433" s="479"/>
      <c r="B433" s="694" t="s">
        <v>275</v>
      </c>
      <c r="C433" s="479"/>
      <c r="D433" s="479"/>
      <c r="E433" s="479"/>
      <c r="F433" s="479"/>
      <c r="G433" s="479"/>
      <c r="H433" s="479"/>
      <c r="I433" s="479"/>
      <c r="J433" s="482" t="e">
        <f>G433/I433</f>
        <v>#DIV/0!</v>
      </c>
      <c r="K433" s="482" t="e">
        <f>(G433*0.005)*J433</f>
        <v>#DIV/0!</v>
      </c>
      <c r="L433" s="482">
        <v>0.15</v>
      </c>
      <c r="M433" s="479"/>
      <c r="N433" s="479" t="e">
        <f>K433-M433</f>
        <v>#DIV/0!</v>
      </c>
      <c r="O433" s="479"/>
    </row>
    <row r="434" spans="1:16" s="264" customFormat="1" hidden="1" x14ac:dyDescent="0.25">
      <c r="A434" s="479"/>
      <c r="B434" s="694"/>
      <c r="C434" s="479"/>
      <c r="D434" s="479"/>
      <c r="E434" s="479"/>
      <c r="F434" s="479"/>
      <c r="G434" s="479"/>
      <c r="H434" s="479"/>
      <c r="I434" s="479"/>
      <c r="J434" s="482" t="e">
        <f t="shared" ref="J434:J438" si="152">G434/I434</f>
        <v>#DIV/0!</v>
      </c>
      <c r="K434" s="482" t="e">
        <f>(G434*0.005)*J434</f>
        <v>#DIV/0!</v>
      </c>
      <c r="L434" s="482">
        <v>0.15</v>
      </c>
      <c r="M434" s="479"/>
      <c r="N434" s="479" t="e">
        <f t="shared" ref="N434:N437" si="153">K434-M434</f>
        <v>#DIV/0!</v>
      </c>
      <c r="O434" s="479"/>
    </row>
    <row r="435" spans="1:16" s="264" customFormat="1" hidden="1" x14ac:dyDescent="0.25">
      <c r="A435" s="479"/>
      <c r="B435" s="694"/>
      <c r="C435" s="479"/>
      <c r="D435" s="479"/>
      <c r="E435" s="479"/>
      <c r="F435" s="479"/>
      <c r="G435" s="479"/>
      <c r="H435" s="479"/>
      <c r="I435" s="479"/>
      <c r="J435" s="482" t="e">
        <f t="shared" si="152"/>
        <v>#DIV/0!</v>
      </c>
      <c r="K435" s="482" t="e">
        <f t="shared" ref="K435" si="154">(G435*0.005)*J435</f>
        <v>#DIV/0!</v>
      </c>
      <c r="L435" s="482">
        <v>0.15</v>
      </c>
      <c r="M435" s="479"/>
      <c r="N435" s="479" t="e">
        <f t="shared" si="153"/>
        <v>#DIV/0!</v>
      </c>
      <c r="O435" s="479"/>
    </row>
    <row r="436" spans="1:16" s="264" customFormat="1" hidden="1" x14ac:dyDescent="0.25">
      <c r="A436" s="479"/>
      <c r="B436" s="694"/>
      <c r="C436" s="479"/>
      <c r="D436" s="479"/>
      <c r="E436" s="479"/>
      <c r="F436" s="479"/>
      <c r="G436" s="479"/>
      <c r="H436" s="479"/>
      <c r="I436" s="479"/>
      <c r="J436" s="482" t="e">
        <f t="shared" si="152"/>
        <v>#DIV/0!</v>
      </c>
      <c r="K436" s="482" t="e">
        <f>(G436*0.005)*J436</f>
        <v>#DIV/0!</v>
      </c>
      <c r="L436" s="482">
        <v>0.15</v>
      </c>
      <c r="M436" s="479"/>
      <c r="N436" s="479" t="e">
        <f t="shared" si="153"/>
        <v>#DIV/0!</v>
      </c>
      <c r="O436" s="479"/>
    </row>
    <row r="437" spans="1:16" s="264" customFormat="1" hidden="1" x14ac:dyDescent="0.25">
      <c r="A437" s="479"/>
      <c r="B437" s="694"/>
      <c r="C437" s="479"/>
      <c r="D437" s="479"/>
      <c r="E437" s="479"/>
      <c r="F437" s="479"/>
      <c r="G437" s="479"/>
      <c r="H437" s="479"/>
      <c r="I437" s="479"/>
      <c r="J437" s="482" t="e">
        <f t="shared" si="152"/>
        <v>#DIV/0!</v>
      </c>
      <c r="K437" s="482" t="e">
        <f t="shared" ref="K437" si="155">(G437*0.005)*J437</f>
        <v>#DIV/0!</v>
      </c>
      <c r="L437" s="482">
        <v>0.15</v>
      </c>
      <c r="M437" s="479"/>
      <c r="N437" s="479" t="e">
        <f t="shared" si="153"/>
        <v>#DIV/0!</v>
      </c>
      <c r="O437" s="479"/>
    </row>
    <row r="438" spans="1:16" s="264" customFormat="1" hidden="1" x14ac:dyDescent="0.25">
      <c r="A438" s="479"/>
      <c r="B438" s="694"/>
      <c r="C438" s="479"/>
      <c r="D438" s="479"/>
      <c r="E438" s="479"/>
      <c r="F438" s="479"/>
      <c r="G438" s="479"/>
      <c r="H438" s="479"/>
      <c r="I438" s="479"/>
      <c r="J438" s="482" t="e">
        <f t="shared" si="152"/>
        <v>#DIV/0!</v>
      </c>
      <c r="K438" s="482"/>
      <c r="L438" s="482"/>
      <c r="M438" s="479"/>
      <c r="N438" s="479"/>
      <c r="O438" s="479"/>
    </row>
    <row r="439" spans="1:16" s="264" customFormat="1" hidden="1" x14ac:dyDescent="0.25">
      <c r="A439" s="479"/>
      <c r="B439" s="479"/>
      <c r="C439" s="479"/>
      <c r="D439" s="479"/>
      <c r="E439" s="481">
        <f>SUM(E433:E437)</f>
        <v>0</v>
      </c>
      <c r="F439" s="479"/>
      <c r="G439" s="481">
        <f>SUM(G433:G437)</f>
        <v>0</v>
      </c>
      <c r="H439" s="479"/>
      <c r="I439" s="479"/>
      <c r="J439" s="482"/>
      <c r="K439" s="482"/>
      <c r="L439" s="482"/>
      <c r="M439" s="479"/>
      <c r="N439" s="479"/>
      <c r="O439" s="479"/>
    </row>
    <row r="440" spans="1:16" s="264" customFormat="1" hidden="1" x14ac:dyDescent="0.25">
      <c r="A440" s="479"/>
      <c r="B440" s="479"/>
      <c r="C440" s="483" t="s">
        <v>264</v>
      </c>
      <c r="D440" s="483" t="s">
        <v>265</v>
      </c>
      <c r="E440" s="483" t="s">
        <v>266</v>
      </c>
      <c r="F440" s="483" t="s">
        <v>265</v>
      </c>
      <c r="G440" s="483" t="s">
        <v>267</v>
      </c>
      <c r="H440" s="483" t="s">
        <v>268</v>
      </c>
      <c r="I440" s="483" t="s">
        <v>269</v>
      </c>
      <c r="J440" s="484" t="s">
        <v>270</v>
      </c>
      <c r="K440" s="484" t="s">
        <v>462</v>
      </c>
      <c r="L440" s="484" t="s">
        <v>458</v>
      </c>
      <c r="M440" s="483"/>
      <c r="N440" s="483" t="s">
        <v>459</v>
      </c>
      <c r="O440" s="483" t="s">
        <v>460</v>
      </c>
      <c r="P440" s="438" t="s">
        <v>461</v>
      </c>
    </row>
    <row r="441" spans="1:16" s="264" customFormat="1" hidden="1" x14ac:dyDescent="0.25">
      <c r="A441" s="479"/>
      <c r="B441" s="694" t="s">
        <v>276</v>
      </c>
      <c r="C441" s="479"/>
      <c r="D441" s="479"/>
      <c r="E441" s="479"/>
      <c r="F441" s="479"/>
      <c r="G441" s="479"/>
      <c r="H441" s="479"/>
      <c r="I441" s="479"/>
      <c r="J441" s="482" t="e">
        <f>G441/I441</f>
        <v>#DIV/0!</v>
      </c>
      <c r="K441" s="482" t="e">
        <f>(G441*0.005)*J441</f>
        <v>#DIV/0!</v>
      </c>
      <c r="L441" s="482">
        <v>0.15</v>
      </c>
      <c r="M441" s="479"/>
      <c r="N441" s="479" t="e">
        <f>K441-M441</f>
        <v>#DIV/0!</v>
      </c>
      <c r="O441" s="479"/>
    </row>
    <row r="442" spans="1:16" s="264" customFormat="1" hidden="1" x14ac:dyDescent="0.25">
      <c r="A442" s="479"/>
      <c r="B442" s="694"/>
      <c r="C442" s="479"/>
      <c r="D442" s="479"/>
      <c r="E442" s="479"/>
      <c r="F442" s="479"/>
      <c r="G442" s="479"/>
      <c r="H442" s="479"/>
      <c r="I442" s="479"/>
      <c r="J442" s="482" t="e">
        <f t="shared" ref="J442:J446" si="156">G442/I442</f>
        <v>#DIV/0!</v>
      </c>
      <c r="K442" s="482" t="e">
        <f>(G442*0.005)*J442</f>
        <v>#DIV/0!</v>
      </c>
      <c r="L442" s="482">
        <v>0.15</v>
      </c>
      <c r="M442" s="479"/>
      <c r="N442" s="479" t="e">
        <f t="shared" ref="N442:N446" si="157">K442-M442</f>
        <v>#DIV/0!</v>
      </c>
      <c r="O442" s="479"/>
    </row>
    <row r="443" spans="1:16" s="264" customFormat="1" hidden="1" x14ac:dyDescent="0.25">
      <c r="A443" s="479"/>
      <c r="B443" s="694"/>
      <c r="C443" s="479"/>
      <c r="D443" s="479"/>
      <c r="E443" s="479"/>
      <c r="F443" s="479"/>
      <c r="G443" s="479"/>
      <c r="H443" s="479"/>
      <c r="I443" s="479"/>
      <c r="J443" s="482" t="e">
        <f t="shared" si="156"/>
        <v>#DIV/0!</v>
      </c>
      <c r="K443" s="482" t="e">
        <f t="shared" ref="K443" si="158">(G443*0.005)*J443</f>
        <v>#DIV/0!</v>
      </c>
      <c r="L443" s="482">
        <v>0.15</v>
      </c>
      <c r="M443" s="479"/>
      <c r="N443" s="479" t="e">
        <f t="shared" si="157"/>
        <v>#DIV/0!</v>
      </c>
      <c r="O443" s="479"/>
    </row>
    <row r="444" spans="1:16" s="264" customFormat="1" hidden="1" x14ac:dyDescent="0.25">
      <c r="A444" s="479"/>
      <c r="B444" s="694"/>
      <c r="C444" s="479"/>
      <c r="D444" s="479"/>
      <c r="E444" s="479"/>
      <c r="F444" s="479"/>
      <c r="G444" s="479"/>
      <c r="H444" s="479"/>
      <c r="I444" s="479"/>
      <c r="J444" s="482" t="e">
        <f t="shared" si="156"/>
        <v>#DIV/0!</v>
      </c>
      <c r="K444" s="482" t="e">
        <f>(G444*0.005)*J444</f>
        <v>#DIV/0!</v>
      </c>
      <c r="L444" s="482">
        <v>0.15</v>
      </c>
      <c r="M444" s="479"/>
      <c r="N444" s="479" t="e">
        <f t="shared" si="157"/>
        <v>#DIV/0!</v>
      </c>
      <c r="O444" s="479"/>
    </row>
    <row r="445" spans="1:16" s="264" customFormat="1" hidden="1" x14ac:dyDescent="0.25">
      <c r="A445" s="479"/>
      <c r="B445" s="694"/>
      <c r="C445" s="479"/>
      <c r="D445" s="479"/>
      <c r="E445" s="479"/>
      <c r="F445" s="479"/>
      <c r="G445" s="479"/>
      <c r="H445" s="479"/>
      <c r="I445" s="479"/>
      <c r="J445" s="482" t="e">
        <f t="shared" si="156"/>
        <v>#DIV/0!</v>
      </c>
      <c r="K445" s="482" t="e">
        <f t="shared" ref="K445:K446" si="159">(G445*0.005)*J445</f>
        <v>#DIV/0!</v>
      </c>
      <c r="L445" s="482">
        <v>0.15</v>
      </c>
      <c r="M445" s="479"/>
      <c r="N445" s="479" t="e">
        <f t="shared" si="157"/>
        <v>#DIV/0!</v>
      </c>
      <c r="O445" s="479"/>
    </row>
    <row r="446" spans="1:16" s="264" customFormat="1" hidden="1" x14ac:dyDescent="0.25">
      <c r="A446" s="479"/>
      <c r="B446" s="694"/>
      <c r="C446" s="479"/>
      <c r="D446" s="479"/>
      <c r="E446" s="479"/>
      <c r="F446" s="479"/>
      <c r="G446" s="479"/>
      <c r="H446" s="479"/>
      <c r="I446" s="479"/>
      <c r="J446" s="482" t="e">
        <f t="shared" si="156"/>
        <v>#DIV/0!</v>
      </c>
      <c r="K446" s="482" t="e">
        <f t="shared" si="159"/>
        <v>#DIV/0!</v>
      </c>
      <c r="L446" s="482">
        <v>0.15</v>
      </c>
      <c r="M446" s="479"/>
      <c r="N446" s="479" t="e">
        <f t="shared" si="157"/>
        <v>#DIV/0!</v>
      </c>
      <c r="O446" s="479"/>
    </row>
    <row r="447" spans="1:16" s="264" customFormat="1" hidden="1" x14ac:dyDescent="0.25">
      <c r="A447" s="479"/>
      <c r="B447" s="479"/>
      <c r="C447" s="479"/>
      <c r="D447" s="479"/>
      <c r="E447" s="481">
        <f>SUM(E441:E445)</f>
        <v>0</v>
      </c>
      <c r="F447" s="479"/>
      <c r="G447" s="481">
        <f>SUM(G441:G445)</f>
        <v>0</v>
      </c>
      <c r="H447" s="479"/>
      <c r="I447" s="479"/>
      <c r="J447" s="482"/>
      <c r="K447" s="482"/>
      <c r="L447" s="482"/>
      <c r="M447" s="479"/>
      <c r="N447" s="479"/>
      <c r="O447" s="479"/>
    </row>
    <row r="448" spans="1:16" s="264" customFormat="1" hidden="1" x14ac:dyDescent="0.25">
      <c r="A448" s="479"/>
      <c r="B448" s="479"/>
      <c r="C448" s="483" t="s">
        <v>264</v>
      </c>
      <c r="D448" s="483" t="s">
        <v>265</v>
      </c>
      <c r="E448" s="483" t="s">
        <v>266</v>
      </c>
      <c r="F448" s="483" t="s">
        <v>265</v>
      </c>
      <c r="G448" s="483" t="s">
        <v>267</v>
      </c>
      <c r="H448" s="483" t="s">
        <v>268</v>
      </c>
      <c r="I448" s="483" t="s">
        <v>269</v>
      </c>
      <c r="J448" s="484" t="s">
        <v>270</v>
      </c>
      <c r="K448" s="484" t="s">
        <v>462</v>
      </c>
      <c r="L448" s="484" t="s">
        <v>458</v>
      </c>
      <c r="M448" s="483"/>
      <c r="N448" s="483" t="s">
        <v>459</v>
      </c>
      <c r="O448" s="483" t="s">
        <v>460</v>
      </c>
      <c r="P448" s="438" t="s">
        <v>461</v>
      </c>
    </row>
    <row r="449" spans="1:16" s="264" customFormat="1" hidden="1" x14ac:dyDescent="0.25">
      <c r="A449" s="479"/>
      <c r="B449" s="694" t="s">
        <v>277</v>
      </c>
      <c r="C449" s="479"/>
      <c r="D449" s="479"/>
      <c r="E449" s="479"/>
      <c r="F449" s="479"/>
      <c r="G449" s="479"/>
      <c r="H449" s="479"/>
      <c r="I449" s="479"/>
      <c r="J449" s="482" t="e">
        <f>G449/I449</f>
        <v>#DIV/0!</v>
      </c>
      <c r="K449" s="482" t="e">
        <f>(G449*0.005)*J449</f>
        <v>#DIV/0!</v>
      </c>
      <c r="L449" s="482">
        <v>0.15</v>
      </c>
      <c r="M449" s="479"/>
      <c r="N449" s="479" t="e">
        <f>K449-M449</f>
        <v>#DIV/0!</v>
      </c>
      <c r="O449" s="479"/>
    </row>
    <row r="450" spans="1:16" s="264" customFormat="1" hidden="1" x14ac:dyDescent="0.25">
      <c r="A450" s="479"/>
      <c r="B450" s="694"/>
      <c r="C450" s="479"/>
      <c r="D450" s="479"/>
      <c r="E450" s="479"/>
      <c r="F450" s="479"/>
      <c r="G450" s="479"/>
      <c r="H450" s="479"/>
      <c r="I450" s="479"/>
      <c r="J450" s="482" t="e">
        <f t="shared" ref="J450:J454" si="160">G450/I450</f>
        <v>#DIV/0!</v>
      </c>
      <c r="K450" s="482" t="e">
        <f>(G450*0.005)*J450</f>
        <v>#DIV/0!</v>
      </c>
      <c r="L450" s="482">
        <v>0.15</v>
      </c>
      <c r="M450" s="479"/>
      <c r="N450" s="479" t="e">
        <f t="shared" ref="N450:N454" si="161">K450-M450</f>
        <v>#DIV/0!</v>
      </c>
      <c r="O450" s="479"/>
    </row>
    <row r="451" spans="1:16" s="264" customFormat="1" hidden="1" x14ac:dyDescent="0.25">
      <c r="A451" s="479"/>
      <c r="B451" s="694"/>
      <c r="C451" s="479"/>
      <c r="D451" s="479"/>
      <c r="E451" s="479"/>
      <c r="F451" s="479"/>
      <c r="G451" s="479"/>
      <c r="H451" s="479"/>
      <c r="I451" s="479"/>
      <c r="J451" s="482" t="e">
        <f t="shared" si="160"/>
        <v>#DIV/0!</v>
      </c>
      <c r="K451" s="482" t="e">
        <f t="shared" ref="K451" si="162">(G451*0.005)*J451</f>
        <v>#DIV/0!</v>
      </c>
      <c r="L451" s="482">
        <v>0.15</v>
      </c>
      <c r="M451" s="479"/>
      <c r="N451" s="479" t="e">
        <f t="shared" si="161"/>
        <v>#DIV/0!</v>
      </c>
      <c r="O451" s="479"/>
    </row>
    <row r="452" spans="1:16" s="264" customFormat="1" hidden="1" x14ac:dyDescent="0.25">
      <c r="A452" s="479"/>
      <c r="B452" s="694"/>
      <c r="C452" s="479"/>
      <c r="D452" s="479"/>
      <c r="E452" s="479"/>
      <c r="F452" s="479"/>
      <c r="G452" s="479"/>
      <c r="H452" s="479"/>
      <c r="I452" s="479"/>
      <c r="J452" s="482" t="e">
        <f t="shared" si="160"/>
        <v>#DIV/0!</v>
      </c>
      <c r="K452" s="482" t="e">
        <f>(G452*0.005)*J452</f>
        <v>#DIV/0!</v>
      </c>
      <c r="L452" s="482">
        <v>0.15</v>
      </c>
      <c r="M452" s="479"/>
      <c r="N452" s="479" t="e">
        <f t="shared" si="161"/>
        <v>#DIV/0!</v>
      </c>
      <c r="O452" s="479"/>
    </row>
    <row r="453" spans="1:16" s="264" customFormat="1" hidden="1" x14ac:dyDescent="0.25">
      <c r="A453" s="479"/>
      <c r="B453" s="694"/>
      <c r="C453" s="479"/>
      <c r="D453" s="479"/>
      <c r="E453" s="479"/>
      <c r="F453" s="479"/>
      <c r="G453" s="479"/>
      <c r="H453" s="479"/>
      <c r="I453" s="479"/>
      <c r="J453" s="482" t="e">
        <f t="shared" si="160"/>
        <v>#DIV/0!</v>
      </c>
      <c r="K453" s="482" t="e">
        <f t="shared" ref="K453:K454" si="163">(G453*0.005)*J453</f>
        <v>#DIV/0!</v>
      </c>
      <c r="L453" s="482">
        <v>0.15</v>
      </c>
      <c r="M453" s="479"/>
      <c r="N453" s="479" t="e">
        <f t="shared" si="161"/>
        <v>#DIV/0!</v>
      </c>
      <c r="O453" s="479"/>
    </row>
    <row r="454" spans="1:16" s="264" customFormat="1" hidden="1" x14ac:dyDescent="0.25">
      <c r="A454" s="479"/>
      <c r="B454" s="694"/>
      <c r="C454" s="479"/>
      <c r="D454" s="479"/>
      <c r="E454" s="479"/>
      <c r="F454" s="479"/>
      <c r="G454" s="479"/>
      <c r="H454" s="479"/>
      <c r="I454" s="479"/>
      <c r="J454" s="482" t="e">
        <f t="shared" si="160"/>
        <v>#DIV/0!</v>
      </c>
      <c r="K454" s="482" t="e">
        <f t="shared" si="163"/>
        <v>#DIV/0!</v>
      </c>
      <c r="L454" s="482">
        <v>0.15</v>
      </c>
      <c r="M454" s="479"/>
      <c r="N454" s="479" t="e">
        <f t="shared" si="161"/>
        <v>#DIV/0!</v>
      </c>
      <c r="O454" s="479"/>
    </row>
    <row r="455" spans="1:16" s="264" customFormat="1" hidden="1" x14ac:dyDescent="0.25">
      <c r="A455" s="479"/>
      <c r="B455" s="479"/>
      <c r="C455" s="479"/>
      <c r="D455" s="479"/>
      <c r="E455" s="481">
        <f>SUM(E449:E453)</f>
        <v>0</v>
      </c>
      <c r="F455" s="479"/>
      <c r="G455" s="481">
        <f>SUM(G449:G453)</f>
        <v>0</v>
      </c>
      <c r="H455" s="479"/>
      <c r="I455" s="479"/>
      <c r="J455" s="482"/>
      <c r="K455" s="482"/>
      <c r="L455" s="482"/>
      <c r="M455" s="479"/>
      <c r="N455" s="479"/>
      <c r="O455" s="479"/>
    </row>
    <row r="456" spans="1:16" s="264" customFormat="1" hidden="1" x14ac:dyDescent="0.25">
      <c r="A456" s="479"/>
      <c r="B456" s="479"/>
      <c r="C456" s="479"/>
      <c r="D456" s="479"/>
      <c r="E456" s="479"/>
      <c r="F456" s="479"/>
      <c r="G456" s="479"/>
      <c r="H456" s="479"/>
      <c r="I456" s="479"/>
      <c r="J456" s="482"/>
      <c r="K456" s="482"/>
      <c r="L456" s="482"/>
      <c r="M456" s="479"/>
      <c r="N456" s="479"/>
      <c r="O456" s="479"/>
    </row>
    <row r="457" spans="1:16" s="264" customFormat="1" hidden="1" x14ac:dyDescent="0.25">
      <c r="A457" s="479"/>
      <c r="B457" s="479"/>
      <c r="C457" s="483" cm="1">
        <f t="array" aca="1" ref="C457" ca="1">+#REF!+C4:O457+C457:P457</f>
        <v>0</v>
      </c>
      <c r="D457" s="483" t="s">
        <v>265</v>
      </c>
      <c r="E457" s="483" t="s">
        <v>266</v>
      </c>
      <c r="F457" s="483" t="s">
        <v>265</v>
      </c>
      <c r="G457" s="483" t="s">
        <v>267</v>
      </c>
      <c r="H457" s="483" t="s">
        <v>268</v>
      </c>
      <c r="I457" s="483" t="s">
        <v>269</v>
      </c>
      <c r="J457" s="484" t="s">
        <v>270</v>
      </c>
      <c r="K457" s="484" t="s">
        <v>462</v>
      </c>
      <c r="L457" s="484" t="s">
        <v>458</v>
      </c>
      <c r="M457" s="483"/>
      <c r="N457" s="483" t="s">
        <v>459</v>
      </c>
      <c r="O457" s="483" t="s">
        <v>460</v>
      </c>
      <c r="P457" s="438" t="s">
        <v>461</v>
      </c>
    </row>
    <row r="458" spans="1:16" s="264" customFormat="1" hidden="1" x14ac:dyDescent="0.25">
      <c r="A458" s="479"/>
      <c r="B458" s="694" t="s">
        <v>278</v>
      </c>
      <c r="C458" s="479"/>
      <c r="D458" s="479"/>
      <c r="E458" s="479"/>
      <c r="F458" s="479"/>
      <c r="G458" s="479"/>
      <c r="H458" s="479"/>
      <c r="I458" s="479"/>
      <c r="J458" s="482" t="e">
        <f>G458/I458</f>
        <v>#DIV/0!</v>
      </c>
      <c r="K458" s="482" t="e">
        <f>(G458*0.005)*J458</f>
        <v>#DIV/0!</v>
      </c>
      <c r="L458" s="482">
        <v>0.15</v>
      </c>
      <c r="M458" s="479"/>
      <c r="N458" s="479" t="e">
        <f>K458-M458</f>
        <v>#DIV/0!</v>
      </c>
      <c r="O458" s="479"/>
    </row>
    <row r="459" spans="1:16" s="264" customFormat="1" hidden="1" x14ac:dyDescent="0.25">
      <c r="A459" s="479"/>
      <c r="B459" s="694"/>
      <c r="C459" s="479"/>
      <c r="D459" s="479"/>
      <c r="E459" s="479"/>
      <c r="F459" s="479"/>
      <c r="G459" s="479"/>
      <c r="H459" s="479"/>
      <c r="I459" s="479"/>
      <c r="J459" s="482" t="e">
        <f t="shared" ref="J459:J460" si="164">G459/I459</f>
        <v>#DIV/0!</v>
      </c>
      <c r="K459" s="482" t="e">
        <f>(G459*0.005)*J459</f>
        <v>#DIV/0!</v>
      </c>
      <c r="L459" s="482">
        <v>0.15</v>
      </c>
      <c r="M459" s="479"/>
      <c r="N459" s="479" t="e">
        <f t="shared" ref="N459:N463" si="165">K459-M459</f>
        <v>#DIV/0!</v>
      </c>
      <c r="O459" s="479"/>
    </row>
    <row r="460" spans="1:16" s="264" customFormat="1" hidden="1" x14ac:dyDescent="0.25">
      <c r="A460" s="479"/>
      <c r="B460" s="694"/>
      <c r="C460" s="479"/>
      <c r="D460" s="479"/>
      <c r="E460" s="479"/>
      <c r="F460" s="479"/>
      <c r="G460" s="479"/>
      <c r="H460" s="479"/>
      <c r="I460" s="479"/>
      <c r="J460" s="482" t="e">
        <f t="shared" si="164"/>
        <v>#DIV/0!</v>
      </c>
      <c r="K460" s="482" t="e">
        <f t="shared" ref="K460" si="166">(G460*0.005)*J460</f>
        <v>#DIV/0!</v>
      </c>
      <c r="L460" s="482">
        <v>0.15</v>
      </c>
      <c r="M460" s="479"/>
      <c r="N460" s="479" t="e">
        <f t="shared" si="165"/>
        <v>#DIV/0!</v>
      </c>
      <c r="O460" s="479"/>
    </row>
    <row r="461" spans="1:16" s="264" customFormat="1" hidden="1" x14ac:dyDescent="0.25">
      <c r="A461" s="479"/>
      <c r="B461" s="694"/>
      <c r="C461" s="479"/>
      <c r="D461" s="479"/>
      <c r="E461" s="479"/>
      <c r="F461" s="479"/>
      <c r="G461" s="479"/>
      <c r="H461" s="479"/>
      <c r="I461" s="479"/>
      <c r="J461" s="482" t="e">
        <f>G461/I461</f>
        <v>#DIV/0!</v>
      </c>
      <c r="K461" s="482" t="e">
        <f>(G461*0.005)*J461</f>
        <v>#DIV/0!</v>
      </c>
      <c r="L461" s="482">
        <v>0.15</v>
      </c>
      <c r="M461" s="479"/>
      <c r="N461" s="479" t="e">
        <f t="shared" si="165"/>
        <v>#DIV/0!</v>
      </c>
      <c r="O461" s="479"/>
    </row>
    <row r="462" spans="1:16" s="264" customFormat="1" hidden="1" x14ac:dyDescent="0.25">
      <c r="A462" s="479"/>
      <c r="B462" s="694"/>
      <c r="C462" s="479"/>
      <c r="D462" s="479"/>
      <c r="E462" s="479"/>
      <c r="F462" s="479"/>
      <c r="G462" s="479"/>
      <c r="H462" s="479"/>
      <c r="I462" s="479"/>
      <c r="J462" s="482" t="e">
        <f t="shared" ref="J462:J463" si="167">G462/I462</f>
        <v>#DIV/0!</v>
      </c>
      <c r="K462" s="482" t="e">
        <f t="shared" ref="K462:K463" si="168">(G462*0.005)*J462</f>
        <v>#DIV/0!</v>
      </c>
      <c r="L462" s="482">
        <v>0.15</v>
      </c>
      <c r="M462" s="479"/>
      <c r="N462" s="479" t="e">
        <f t="shared" si="165"/>
        <v>#DIV/0!</v>
      </c>
      <c r="O462" s="479"/>
    </row>
    <row r="463" spans="1:16" s="264" customFormat="1" hidden="1" x14ac:dyDescent="0.25">
      <c r="A463" s="479"/>
      <c r="B463" s="694"/>
      <c r="C463" s="479"/>
      <c r="D463" s="479"/>
      <c r="E463" s="479"/>
      <c r="F463" s="479"/>
      <c r="G463" s="479"/>
      <c r="H463" s="479"/>
      <c r="I463" s="479"/>
      <c r="J463" s="482" t="e">
        <f t="shared" si="167"/>
        <v>#DIV/0!</v>
      </c>
      <c r="K463" s="482" t="e">
        <f t="shared" si="168"/>
        <v>#DIV/0!</v>
      </c>
      <c r="L463" s="482">
        <v>0.15</v>
      </c>
      <c r="M463" s="479"/>
      <c r="N463" s="479" t="e">
        <f t="shared" si="165"/>
        <v>#DIV/0!</v>
      </c>
      <c r="O463" s="479"/>
    </row>
    <row r="464" spans="1:16" s="264" customFormat="1" hidden="1" x14ac:dyDescent="0.25">
      <c r="A464" s="479"/>
      <c r="B464" s="694"/>
      <c r="C464" s="479"/>
      <c r="D464" s="479"/>
      <c r="E464" s="479"/>
      <c r="F464" s="479"/>
      <c r="G464" s="479"/>
      <c r="H464" s="479"/>
      <c r="I464" s="479"/>
      <c r="J464" s="482"/>
      <c r="K464" s="482"/>
      <c r="L464" s="482"/>
      <c r="M464" s="479"/>
      <c r="N464" s="479"/>
      <c r="O464" s="479"/>
    </row>
    <row r="465" spans="1:16" s="264" customFormat="1" hidden="1" x14ac:dyDescent="0.25">
      <c r="A465" s="479"/>
      <c r="B465" s="694"/>
      <c r="C465" s="479"/>
      <c r="D465" s="479"/>
      <c r="E465" s="479"/>
      <c r="F465" s="479"/>
      <c r="G465" s="479"/>
      <c r="H465" s="479"/>
      <c r="I465" s="479"/>
      <c r="J465" s="482"/>
      <c r="K465" s="482"/>
      <c r="L465" s="482"/>
      <c r="M465" s="479" t="s">
        <v>463</v>
      </c>
      <c r="N465" s="479" t="e">
        <f>SUM(N458:N464)</f>
        <v>#DIV/0!</v>
      </c>
      <c r="O465" s="479"/>
    </row>
    <row r="466" spans="1:16" s="264" customFormat="1" hidden="1" x14ac:dyDescent="0.25">
      <c r="A466" s="479"/>
      <c r="B466" s="694"/>
      <c r="C466" s="479"/>
      <c r="D466" s="479"/>
      <c r="E466" s="479"/>
      <c r="F466" s="479"/>
      <c r="G466" s="479"/>
      <c r="H466" s="479"/>
      <c r="I466" s="479"/>
      <c r="J466" s="482"/>
      <c r="K466" s="482"/>
      <c r="L466" s="482"/>
      <c r="M466" s="479"/>
      <c r="N466" s="479"/>
      <c r="O466" s="479"/>
    </row>
    <row r="467" spans="1:16" s="264" customFormat="1" hidden="1" x14ac:dyDescent="0.25">
      <c r="A467" s="479"/>
      <c r="B467" s="694"/>
      <c r="C467" s="479"/>
      <c r="D467" s="479"/>
      <c r="E467" s="481">
        <f>SUM(E458:E463)</f>
        <v>0</v>
      </c>
      <c r="F467" s="479"/>
      <c r="G467" s="481">
        <f>SUM(G458:G463)</f>
        <v>0</v>
      </c>
      <c r="H467" s="479"/>
      <c r="I467" s="479"/>
      <c r="J467" s="482"/>
      <c r="K467" s="482"/>
      <c r="L467" s="482"/>
      <c r="M467" s="479"/>
      <c r="N467" s="479"/>
      <c r="O467" s="479"/>
    </row>
    <row r="468" spans="1:16" s="264" customFormat="1" hidden="1" x14ac:dyDescent="0.25">
      <c r="A468" s="479"/>
      <c r="B468" s="479"/>
      <c r="C468" s="479"/>
      <c r="D468" s="479"/>
      <c r="E468" s="479"/>
      <c r="F468" s="479"/>
      <c r="G468" s="479"/>
      <c r="H468" s="479"/>
      <c r="I468" s="479"/>
      <c r="J468" s="482"/>
      <c r="K468" s="482"/>
      <c r="L468" s="482"/>
      <c r="M468" s="479"/>
      <c r="N468" s="479"/>
      <c r="O468" s="479"/>
    </row>
    <row r="469" spans="1:16" s="264" customFormat="1" hidden="1" x14ac:dyDescent="0.25">
      <c r="A469" s="479"/>
      <c r="B469" s="479"/>
      <c r="C469" s="483" t="s">
        <v>264</v>
      </c>
      <c r="D469" s="483" t="s">
        <v>265</v>
      </c>
      <c r="E469" s="483" t="s">
        <v>266</v>
      </c>
      <c r="F469" s="483" t="s">
        <v>265</v>
      </c>
      <c r="G469" s="483" t="s">
        <v>267</v>
      </c>
      <c r="H469" s="483" t="s">
        <v>268</v>
      </c>
      <c r="I469" s="483" t="s">
        <v>269</v>
      </c>
      <c r="J469" s="484" t="s">
        <v>270</v>
      </c>
      <c r="K469" s="484" t="s">
        <v>462</v>
      </c>
      <c r="L469" s="484" t="s">
        <v>458</v>
      </c>
      <c r="M469" s="483"/>
      <c r="N469" s="483" t="s">
        <v>459</v>
      </c>
      <c r="O469" s="483" t="s">
        <v>460</v>
      </c>
      <c r="P469" s="438" t="s">
        <v>461</v>
      </c>
    </row>
    <row r="470" spans="1:16" s="264" customFormat="1" hidden="1" x14ac:dyDescent="0.25">
      <c r="A470" s="479"/>
      <c r="B470" s="694" t="s">
        <v>279</v>
      </c>
      <c r="C470" s="479"/>
      <c r="D470" s="479"/>
      <c r="E470" s="479"/>
      <c r="F470" s="479"/>
      <c r="G470" s="479"/>
      <c r="H470" s="479"/>
      <c r="I470" s="479"/>
      <c r="J470" s="482"/>
      <c r="K470" s="482">
        <f>(G470*0.005)*J470</f>
        <v>0</v>
      </c>
      <c r="L470" s="482">
        <v>0.15</v>
      </c>
      <c r="M470" s="479"/>
      <c r="N470" s="479">
        <f>K470-M470</f>
        <v>0</v>
      </c>
      <c r="O470" s="479"/>
    </row>
    <row r="471" spans="1:16" s="264" customFormat="1" hidden="1" x14ac:dyDescent="0.25">
      <c r="A471" s="479"/>
      <c r="B471" s="694"/>
      <c r="C471" s="479"/>
      <c r="D471" s="479"/>
      <c r="E471" s="479"/>
      <c r="F471" s="479"/>
      <c r="G471" s="479"/>
      <c r="H471" s="479"/>
      <c r="I471" s="479"/>
      <c r="J471" s="482" t="e">
        <f>G471/I471</f>
        <v>#DIV/0!</v>
      </c>
      <c r="K471" s="482" t="e">
        <f>(G471*0.005)*J471</f>
        <v>#DIV/0!</v>
      </c>
      <c r="L471" s="482">
        <v>0.15</v>
      </c>
      <c r="M471" s="479"/>
      <c r="N471" s="479" t="e">
        <f t="shared" ref="N471:N477" si="169">K471-M471</f>
        <v>#DIV/0!</v>
      </c>
      <c r="O471" s="479"/>
    </row>
    <row r="472" spans="1:16" s="264" customFormat="1" hidden="1" x14ac:dyDescent="0.25">
      <c r="A472" s="479"/>
      <c r="B472" s="694"/>
      <c r="C472" s="479"/>
      <c r="D472" s="479"/>
      <c r="E472" s="479"/>
      <c r="F472" s="479"/>
      <c r="G472" s="479"/>
      <c r="H472" s="479"/>
      <c r="I472" s="479"/>
      <c r="J472" s="482" t="e">
        <f t="shared" ref="J472:J474" si="170">G472/I472</f>
        <v>#DIV/0!</v>
      </c>
      <c r="K472" s="482" t="e">
        <f t="shared" ref="K472" si="171">(G472*0.005)*J472</f>
        <v>#DIV/0!</v>
      </c>
      <c r="L472" s="482">
        <v>0.15</v>
      </c>
      <c r="M472" s="479"/>
      <c r="N472" s="479" t="e">
        <f t="shared" si="169"/>
        <v>#DIV/0!</v>
      </c>
      <c r="O472" s="479"/>
    </row>
    <row r="473" spans="1:16" s="264" customFormat="1" hidden="1" x14ac:dyDescent="0.25">
      <c r="A473" s="479"/>
      <c r="B473" s="694"/>
      <c r="C473" s="479"/>
      <c r="D473" s="479"/>
      <c r="E473" s="479"/>
      <c r="F473" s="479"/>
      <c r="G473" s="479"/>
      <c r="H473" s="479"/>
      <c r="I473" s="479"/>
      <c r="J473" s="482" t="e">
        <f t="shared" si="170"/>
        <v>#DIV/0!</v>
      </c>
      <c r="K473" s="482" t="e">
        <f>(G473*0.005)*J473</f>
        <v>#DIV/0!</v>
      </c>
      <c r="L473" s="482">
        <v>0.15</v>
      </c>
      <c r="M473" s="479"/>
      <c r="N473" s="479" t="e">
        <f t="shared" si="169"/>
        <v>#DIV/0!</v>
      </c>
      <c r="O473" s="479"/>
    </row>
    <row r="474" spans="1:16" s="264" customFormat="1" hidden="1" x14ac:dyDescent="0.25">
      <c r="A474" s="479"/>
      <c r="B474" s="694"/>
      <c r="C474" s="479"/>
      <c r="D474" s="479"/>
      <c r="E474" s="479"/>
      <c r="F474" s="479"/>
      <c r="G474" s="479"/>
      <c r="H474" s="479"/>
      <c r="I474" s="479"/>
      <c r="J474" s="482" t="e">
        <f t="shared" si="170"/>
        <v>#DIV/0!</v>
      </c>
      <c r="K474" s="482" t="e">
        <f t="shared" ref="K474:K477" si="172">(G474*0.005)*J474</f>
        <v>#DIV/0!</v>
      </c>
      <c r="L474" s="482">
        <v>0.15</v>
      </c>
      <c r="M474" s="479"/>
      <c r="N474" s="479" t="e">
        <f t="shared" si="169"/>
        <v>#DIV/0!</v>
      </c>
      <c r="O474" s="479"/>
    </row>
    <row r="475" spans="1:16" s="264" customFormat="1" hidden="1" x14ac:dyDescent="0.25">
      <c r="A475" s="479"/>
      <c r="B475" s="694"/>
      <c r="C475" s="479"/>
      <c r="D475" s="479"/>
      <c r="E475" s="479"/>
      <c r="F475" s="479"/>
      <c r="G475" s="479"/>
      <c r="H475" s="479"/>
      <c r="I475" s="479"/>
      <c r="J475" s="482"/>
      <c r="K475" s="482">
        <f t="shared" si="172"/>
        <v>0</v>
      </c>
      <c r="L475" s="482">
        <v>0.15</v>
      </c>
      <c r="M475" s="479"/>
      <c r="N475" s="479">
        <f t="shared" si="169"/>
        <v>0</v>
      </c>
      <c r="O475" s="479"/>
    </row>
    <row r="476" spans="1:16" s="264" customFormat="1" hidden="1" x14ac:dyDescent="0.25">
      <c r="A476" s="479"/>
      <c r="B476" s="694"/>
      <c r="C476" s="479"/>
      <c r="D476" s="479"/>
      <c r="E476" s="479"/>
      <c r="F476" s="479"/>
      <c r="G476" s="479"/>
      <c r="H476" s="479"/>
      <c r="I476" s="479"/>
      <c r="J476" s="482"/>
      <c r="K476" s="482">
        <f t="shared" si="172"/>
        <v>0</v>
      </c>
      <c r="L476" s="482">
        <v>0.15</v>
      </c>
      <c r="M476" s="479"/>
      <c r="N476" s="479">
        <f t="shared" si="169"/>
        <v>0</v>
      </c>
      <c r="O476" s="479"/>
    </row>
    <row r="477" spans="1:16" s="264" customFormat="1" hidden="1" x14ac:dyDescent="0.25">
      <c r="A477" s="479"/>
      <c r="B477" s="694"/>
      <c r="C477" s="479"/>
      <c r="D477" s="479"/>
      <c r="E477" s="479"/>
      <c r="F477" s="479"/>
      <c r="G477" s="479"/>
      <c r="H477" s="479"/>
      <c r="I477" s="479"/>
      <c r="J477" s="482" t="e">
        <f t="shared" ref="J477" si="173">G477/I477</f>
        <v>#DIV/0!</v>
      </c>
      <c r="K477" s="482" t="e">
        <f t="shared" si="172"/>
        <v>#DIV/0!</v>
      </c>
      <c r="L477" s="482">
        <v>0.15</v>
      </c>
      <c r="M477" s="479"/>
      <c r="N477" s="479" t="e">
        <f t="shared" si="169"/>
        <v>#DIV/0!</v>
      </c>
      <c r="O477" s="479"/>
    </row>
    <row r="478" spans="1:16" s="264" customFormat="1" hidden="1" x14ac:dyDescent="0.25">
      <c r="A478" s="479"/>
      <c r="B478" s="479"/>
      <c r="C478" s="479"/>
      <c r="D478" s="479"/>
      <c r="E478" s="479"/>
      <c r="F478" s="479"/>
      <c r="G478" s="479"/>
      <c r="H478" s="479"/>
      <c r="I478" s="479"/>
      <c r="J478" s="482"/>
      <c r="K478" s="482"/>
      <c r="L478" s="482"/>
      <c r="M478" s="479" t="s">
        <v>463</v>
      </c>
      <c r="N478" s="479" t="e">
        <f>SUM(N470:N477)</f>
        <v>#DIV/0!</v>
      </c>
      <c r="O478" s="479"/>
    </row>
    <row r="479" spans="1:16" s="264" customFormat="1" hidden="1" x14ac:dyDescent="0.25">
      <c r="A479" s="479"/>
      <c r="B479" s="479"/>
      <c r="C479" s="479"/>
      <c r="D479" s="479"/>
      <c r="E479" s="481">
        <f>SUM(E470:E475)</f>
        <v>0</v>
      </c>
      <c r="F479" s="479"/>
      <c r="G479" s="481">
        <f>SUM(G470:G475)</f>
        <v>0</v>
      </c>
      <c r="H479" s="479"/>
      <c r="I479" s="479"/>
      <c r="J479" s="482"/>
      <c r="K479" s="482"/>
      <c r="L479" s="482"/>
      <c r="M479" s="479"/>
      <c r="N479" s="479"/>
      <c r="O479" s="479"/>
    </row>
    <row r="480" spans="1:16" s="264" customFormat="1" hidden="1" x14ac:dyDescent="0.25">
      <c r="A480" s="479"/>
      <c r="B480" s="479"/>
      <c r="C480" s="483" t="s">
        <v>264</v>
      </c>
      <c r="D480" s="483" t="s">
        <v>265</v>
      </c>
      <c r="E480" s="483" t="s">
        <v>266</v>
      </c>
      <c r="F480" s="483" t="s">
        <v>265</v>
      </c>
      <c r="G480" s="483" t="s">
        <v>267</v>
      </c>
      <c r="H480" s="483" t="s">
        <v>268</v>
      </c>
      <c r="I480" s="483" t="s">
        <v>269</v>
      </c>
      <c r="J480" s="484" t="s">
        <v>270</v>
      </c>
      <c r="K480" s="484" t="s">
        <v>462</v>
      </c>
      <c r="L480" s="484" t="s">
        <v>458</v>
      </c>
      <c r="M480" s="483"/>
      <c r="N480" s="483" t="s">
        <v>459</v>
      </c>
      <c r="O480" s="483" t="s">
        <v>460</v>
      </c>
      <c r="P480" s="438" t="s">
        <v>461</v>
      </c>
    </row>
    <row r="481" spans="1:16" s="264" customFormat="1" hidden="1" x14ac:dyDescent="0.25">
      <c r="A481" s="479"/>
      <c r="B481" s="694" t="s">
        <v>280</v>
      </c>
      <c r="C481" s="479"/>
      <c r="D481" s="479"/>
      <c r="E481" s="479"/>
      <c r="F481" s="479"/>
      <c r="G481" s="479"/>
      <c r="H481" s="479"/>
      <c r="I481" s="479"/>
      <c r="J481" s="482" t="e">
        <f t="shared" ref="J481:J487" si="174">G481/I481</f>
        <v>#DIV/0!</v>
      </c>
      <c r="K481" s="482" t="e">
        <f>(G481*0.005)*J481</f>
        <v>#DIV/0!</v>
      </c>
      <c r="L481" s="482">
        <v>0.15</v>
      </c>
      <c r="M481" s="479"/>
      <c r="N481" s="479" t="e">
        <f>K481-M481</f>
        <v>#DIV/0!</v>
      </c>
      <c r="O481" s="479"/>
    </row>
    <row r="482" spans="1:16" s="264" customFormat="1" hidden="1" x14ac:dyDescent="0.25">
      <c r="A482" s="479"/>
      <c r="B482" s="694"/>
      <c r="C482" s="479"/>
      <c r="D482" s="479"/>
      <c r="E482" s="479"/>
      <c r="F482" s="479"/>
      <c r="G482" s="479"/>
      <c r="H482" s="479"/>
      <c r="I482" s="479"/>
      <c r="J482" s="482" t="e">
        <f t="shared" si="174"/>
        <v>#DIV/0!</v>
      </c>
      <c r="K482" s="482" t="e">
        <f>(G482*0.005)*J482</f>
        <v>#DIV/0!</v>
      </c>
      <c r="L482" s="482">
        <v>0.15</v>
      </c>
      <c r="M482" s="479"/>
      <c r="N482" s="479" t="e">
        <f t="shared" ref="N482:N488" si="175">K482-M482</f>
        <v>#DIV/0!</v>
      </c>
      <c r="O482" s="479"/>
    </row>
    <row r="483" spans="1:16" s="264" customFormat="1" hidden="1" x14ac:dyDescent="0.25">
      <c r="A483" s="479"/>
      <c r="B483" s="694"/>
      <c r="C483" s="479"/>
      <c r="D483" s="479"/>
      <c r="E483" s="479"/>
      <c r="F483" s="479"/>
      <c r="G483" s="479"/>
      <c r="H483" s="479"/>
      <c r="I483" s="479"/>
      <c r="J483" s="482" t="e">
        <f t="shared" si="174"/>
        <v>#DIV/0!</v>
      </c>
      <c r="K483" s="482" t="e">
        <f t="shared" ref="K483" si="176">(G483*0.005)*J483</f>
        <v>#DIV/0!</v>
      </c>
      <c r="L483" s="482">
        <v>0.15</v>
      </c>
      <c r="M483" s="479"/>
      <c r="N483" s="479" t="e">
        <f t="shared" si="175"/>
        <v>#DIV/0!</v>
      </c>
      <c r="O483" s="479"/>
    </row>
    <row r="484" spans="1:16" s="264" customFormat="1" hidden="1" x14ac:dyDescent="0.25">
      <c r="A484" s="479"/>
      <c r="B484" s="694"/>
      <c r="C484" s="479"/>
      <c r="D484" s="479"/>
      <c r="E484" s="479"/>
      <c r="F484" s="479"/>
      <c r="G484" s="479"/>
      <c r="H484" s="479"/>
      <c r="I484" s="479"/>
      <c r="J484" s="482" t="e">
        <f t="shared" si="174"/>
        <v>#DIV/0!</v>
      </c>
      <c r="K484" s="482" t="e">
        <f>(G484*0.005)*J484</f>
        <v>#DIV/0!</v>
      </c>
      <c r="L484" s="482">
        <v>0.15</v>
      </c>
      <c r="M484" s="479"/>
      <c r="N484" s="479" t="e">
        <f t="shared" si="175"/>
        <v>#DIV/0!</v>
      </c>
      <c r="O484" s="479"/>
    </row>
    <row r="485" spans="1:16" s="264" customFormat="1" hidden="1" x14ac:dyDescent="0.25">
      <c r="A485" s="479"/>
      <c r="B485" s="694"/>
      <c r="C485" s="479"/>
      <c r="D485" s="479"/>
      <c r="E485" s="479"/>
      <c r="F485" s="479"/>
      <c r="G485" s="479"/>
      <c r="H485" s="479"/>
      <c r="I485" s="479"/>
      <c r="J485" s="482" t="e">
        <f t="shared" si="174"/>
        <v>#DIV/0!</v>
      </c>
      <c r="K485" s="482" t="e">
        <f t="shared" ref="K485:K488" si="177">(G485*0.005)*J485</f>
        <v>#DIV/0!</v>
      </c>
      <c r="L485" s="482">
        <v>0.15</v>
      </c>
      <c r="M485" s="479"/>
      <c r="N485" s="479" t="e">
        <f t="shared" si="175"/>
        <v>#DIV/0!</v>
      </c>
      <c r="O485" s="479"/>
    </row>
    <row r="486" spans="1:16" s="264" customFormat="1" hidden="1" x14ac:dyDescent="0.25">
      <c r="A486" s="479"/>
      <c r="B486" s="694"/>
      <c r="C486" s="479"/>
      <c r="D486" s="479"/>
      <c r="E486" s="479"/>
      <c r="F486" s="479"/>
      <c r="G486" s="479"/>
      <c r="H486" s="479"/>
      <c r="I486" s="479"/>
      <c r="J486" s="482" t="e">
        <f t="shared" si="174"/>
        <v>#DIV/0!</v>
      </c>
      <c r="K486" s="482" t="e">
        <f t="shared" si="177"/>
        <v>#DIV/0!</v>
      </c>
      <c r="L486" s="482">
        <v>0.15</v>
      </c>
      <c r="M486" s="479"/>
      <c r="N486" s="479" t="e">
        <f t="shared" si="175"/>
        <v>#DIV/0!</v>
      </c>
      <c r="O486" s="479"/>
    </row>
    <row r="487" spans="1:16" s="264" customFormat="1" hidden="1" x14ac:dyDescent="0.25">
      <c r="A487" s="479"/>
      <c r="B487" s="694"/>
      <c r="C487" s="479"/>
      <c r="D487" s="479"/>
      <c r="E487" s="479"/>
      <c r="F487" s="479"/>
      <c r="G487" s="479"/>
      <c r="H487" s="479"/>
      <c r="I487" s="479"/>
      <c r="J487" s="482" t="e">
        <f t="shared" si="174"/>
        <v>#DIV/0!</v>
      </c>
      <c r="K487" s="482" t="e">
        <f t="shared" si="177"/>
        <v>#DIV/0!</v>
      </c>
      <c r="L487" s="482">
        <v>0.15</v>
      </c>
      <c r="M487" s="479"/>
      <c r="N487" s="479" t="e">
        <f t="shared" si="175"/>
        <v>#DIV/0!</v>
      </c>
      <c r="O487" s="479"/>
    </row>
    <row r="488" spans="1:16" s="264" customFormat="1" hidden="1" x14ac:dyDescent="0.25">
      <c r="A488" s="479"/>
      <c r="B488" s="694"/>
      <c r="C488" s="479"/>
      <c r="D488" s="479"/>
      <c r="E488" s="479"/>
      <c r="F488" s="479"/>
      <c r="G488" s="479"/>
      <c r="H488" s="479"/>
      <c r="I488" s="479"/>
      <c r="J488" s="482"/>
      <c r="K488" s="482">
        <f t="shared" si="177"/>
        <v>0</v>
      </c>
      <c r="L488" s="482">
        <v>0.15</v>
      </c>
      <c r="M488" s="479"/>
      <c r="N488" s="479">
        <f t="shared" si="175"/>
        <v>0</v>
      </c>
      <c r="O488" s="479"/>
    </row>
    <row r="489" spans="1:16" s="264" customFormat="1" hidden="1" x14ac:dyDescent="0.25">
      <c r="A489" s="479"/>
      <c r="B489" s="694"/>
      <c r="C489" s="479"/>
      <c r="D489" s="479"/>
      <c r="E489" s="479"/>
      <c r="F489" s="479"/>
      <c r="G489" s="479"/>
      <c r="H489" s="479"/>
      <c r="I489" s="479"/>
      <c r="J489" s="482"/>
      <c r="K489" s="482"/>
      <c r="L489" s="482"/>
      <c r="M489" s="479" t="s">
        <v>463</v>
      </c>
      <c r="N489" s="479" t="e">
        <f>SUM(N481:N488)</f>
        <v>#DIV/0!</v>
      </c>
      <c r="O489" s="479"/>
    </row>
    <row r="490" spans="1:16" s="264" customFormat="1" hidden="1" x14ac:dyDescent="0.25">
      <c r="A490" s="479"/>
      <c r="B490" s="479"/>
      <c r="C490" s="479"/>
      <c r="D490" s="479"/>
      <c r="E490" s="481">
        <f>SUM(E481:E486)</f>
        <v>0</v>
      </c>
      <c r="F490" s="479"/>
      <c r="G490" s="481">
        <f>SUM(G481:G486)</f>
        <v>0</v>
      </c>
      <c r="H490" s="479"/>
      <c r="I490" s="479"/>
      <c r="J490" s="482"/>
      <c r="K490" s="482"/>
      <c r="L490" s="482"/>
      <c r="M490" s="479"/>
      <c r="N490" s="479"/>
      <c r="O490" s="479"/>
    </row>
    <row r="491" spans="1:16" s="264" customFormat="1" hidden="1" x14ac:dyDescent="0.25">
      <c r="A491" s="479"/>
      <c r="B491" s="479"/>
      <c r="C491" s="483" t="s">
        <v>264</v>
      </c>
      <c r="D491" s="483" t="s">
        <v>265</v>
      </c>
      <c r="E491" s="483" t="s">
        <v>266</v>
      </c>
      <c r="F491" s="483" t="s">
        <v>265</v>
      </c>
      <c r="G491" s="483" t="s">
        <v>267</v>
      </c>
      <c r="H491" s="483" t="s">
        <v>268</v>
      </c>
      <c r="I491" s="483" t="s">
        <v>269</v>
      </c>
      <c r="J491" s="484" t="s">
        <v>270</v>
      </c>
      <c r="K491" s="484" t="s">
        <v>462</v>
      </c>
      <c r="L491" s="484" t="s">
        <v>458</v>
      </c>
      <c r="M491" s="483"/>
      <c r="N491" s="483" t="s">
        <v>459</v>
      </c>
      <c r="O491" s="483" t="s">
        <v>460</v>
      </c>
      <c r="P491" s="438" t="s">
        <v>461</v>
      </c>
    </row>
    <row r="492" spans="1:16" s="264" customFormat="1" hidden="1" x14ac:dyDescent="0.25">
      <c r="A492" s="479"/>
      <c r="B492" s="694" t="s">
        <v>452</v>
      </c>
      <c r="C492" s="479"/>
      <c r="D492" s="479"/>
      <c r="E492" s="479"/>
      <c r="F492" s="479"/>
      <c r="G492" s="479"/>
      <c r="H492" s="479"/>
      <c r="I492" s="479"/>
      <c r="J492" s="482" t="e">
        <f t="shared" ref="J492:J498" si="178">G492/I492</f>
        <v>#DIV/0!</v>
      </c>
      <c r="K492" s="482" t="e">
        <f>(G492*0.005)*J492</f>
        <v>#DIV/0!</v>
      </c>
      <c r="L492" s="482">
        <v>0.15</v>
      </c>
      <c r="M492" s="479"/>
      <c r="N492" s="479" t="e">
        <f>K492-M492</f>
        <v>#DIV/0!</v>
      </c>
      <c r="O492" s="479"/>
    </row>
    <row r="493" spans="1:16" s="264" customFormat="1" hidden="1" x14ac:dyDescent="0.25">
      <c r="A493" s="479"/>
      <c r="B493" s="694"/>
      <c r="C493" s="479"/>
      <c r="D493" s="479"/>
      <c r="E493" s="479"/>
      <c r="F493" s="479"/>
      <c r="G493" s="479"/>
      <c r="H493" s="479"/>
      <c r="I493" s="479"/>
      <c r="J493" s="482" t="e">
        <f t="shared" si="178"/>
        <v>#DIV/0!</v>
      </c>
      <c r="K493" s="482" t="e">
        <f>(G493*0.005)*J493</f>
        <v>#DIV/0!</v>
      </c>
      <c r="L493" s="482">
        <v>0.15</v>
      </c>
      <c r="M493" s="479"/>
      <c r="N493" s="479" t="e">
        <f t="shared" ref="N493:N499" si="179">K493-M493</f>
        <v>#DIV/0!</v>
      </c>
      <c r="O493" s="479"/>
    </row>
    <row r="494" spans="1:16" s="264" customFormat="1" hidden="1" x14ac:dyDescent="0.25">
      <c r="A494" s="479"/>
      <c r="B494" s="694"/>
      <c r="C494" s="479"/>
      <c r="D494" s="479"/>
      <c r="E494" s="479"/>
      <c r="F494" s="479"/>
      <c r="G494" s="479"/>
      <c r="H494" s="479"/>
      <c r="I494" s="479"/>
      <c r="J494" s="482" t="e">
        <f t="shared" si="178"/>
        <v>#DIV/0!</v>
      </c>
      <c r="K494" s="482" t="e">
        <f t="shared" ref="K494" si="180">(G494*0.005)*J494</f>
        <v>#DIV/0!</v>
      </c>
      <c r="L494" s="482">
        <v>0.15</v>
      </c>
      <c r="M494" s="479"/>
      <c r="N494" s="479" t="e">
        <f t="shared" si="179"/>
        <v>#DIV/0!</v>
      </c>
      <c r="O494" s="479"/>
    </row>
    <row r="495" spans="1:16" s="264" customFormat="1" hidden="1" x14ac:dyDescent="0.25">
      <c r="A495" s="479"/>
      <c r="B495" s="694"/>
      <c r="C495" s="479"/>
      <c r="D495" s="479"/>
      <c r="E495" s="479"/>
      <c r="F495" s="479"/>
      <c r="G495" s="479"/>
      <c r="H495" s="479"/>
      <c r="I495" s="479"/>
      <c r="J495" s="482" t="e">
        <f t="shared" si="178"/>
        <v>#DIV/0!</v>
      </c>
      <c r="K495" s="482" t="e">
        <f>(G495*0.005)*J495</f>
        <v>#DIV/0!</v>
      </c>
      <c r="L495" s="482">
        <v>0.15</v>
      </c>
      <c r="M495" s="479"/>
      <c r="N495" s="479" t="e">
        <f t="shared" si="179"/>
        <v>#DIV/0!</v>
      </c>
      <c r="O495" s="479"/>
    </row>
    <row r="496" spans="1:16" s="264" customFormat="1" hidden="1" x14ac:dyDescent="0.25">
      <c r="A496" s="479"/>
      <c r="B496" s="694"/>
      <c r="C496" s="479"/>
      <c r="D496" s="479"/>
      <c r="E496" s="479"/>
      <c r="F496" s="479"/>
      <c r="G496" s="479"/>
      <c r="H496" s="479"/>
      <c r="I496" s="479"/>
      <c r="J496" s="482" t="e">
        <f t="shared" si="178"/>
        <v>#DIV/0!</v>
      </c>
      <c r="K496" s="482" t="e">
        <f t="shared" ref="K496:K499" si="181">(G496*0.005)*J496</f>
        <v>#DIV/0!</v>
      </c>
      <c r="L496" s="482">
        <v>0.15</v>
      </c>
      <c r="M496" s="479"/>
      <c r="N496" s="479" t="e">
        <f t="shared" si="179"/>
        <v>#DIV/0!</v>
      </c>
      <c r="O496" s="479"/>
    </row>
    <row r="497" spans="1:16" s="264" customFormat="1" hidden="1" x14ac:dyDescent="0.25">
      <c r="A497" s="479"/>
      <c r="B497" s="694"/>
      <c r="C497" s="479"/>
      <c r="D497" s="479"/>
      <c r="E497" s="479"/>
      <c r="F497" s="479"/>
      <c r="G497" s="479"/>
      <c r="H497" s="479"/>
      <c r="I497" s="479"/>
      <c r="J497" s="482" t="e">
        <f t="shared" si="178"/>
        <v>#DIV/0!</v>
      </c>
      <c r="K497" s="482" t="e">
        <f t="shared" si="181"/>
        <v>#DIV/0!</v>
      </c>
      <c r="L497" s="482">
        <v>0.15</v>
      </c>
      <c r="M497" s="479"/>
      <c r="N497" s="479" t="e">
        <f t="shared" si="179"/>
        <v>#DIV/0!</v>
      </c>
      <c r="O497" s="479"/>
    </row>
    <row r="498" spans="1:16" s="264" customFormat="1" hidden="1" x14ac:dyDescent="0.25">
      <c r="A498" s="479"/>
      <c r="B498" s="694"/>
      <c r="C498" s="479"/>
      <c r="D498" s="479"/>
      <c r="E498" s="479"/>
      <c r="F498" s="479"/>
      <c r="G498" s="479"/>
      <c r="H498" s="479"/>
      <c r="I498" s="479"/>
      <c r="J498" s="482" t="e">
        <f t="shared" si="178"/>
        <v>#DIV/0!</v>
      </c>
      <c r="K498" s="482" t="e">
        <f t="shared" si="181"/>
        <v>#DIV/0!</v>
      </c>
      <c r="L498" s="482">
        <v>0.15</v>
      </c>
      <c r="M498" s="479"/>
      <c r="N498" s="479" t="e">
        <f t="shared" si="179"/>
        <v>#DIV/0!</v>
      </c>
      <c r="O498" s="479"/>
    </row>
    <row r="499" spans="1:16" s="264" customFormat="1" hidden="1" x14ac:dyDescent="0.25">
      <c r="A499" s="479"/>
      <c r="B499" s="694"/>
      <c r="C499" s="479"/>
      <c r="D499" s="479"/>
      <c r="E499" s="479"/>
      <c r="F499" s="479"/>
      <c r="G499" s="479"/>
      <c r="H499" s="479"/>
      <c r="I499" s="479"/>
      <c r="J499" s="482"/>
      <c r="K499" s="482">
        <f t="shared" si="181"/>
        <v>0</v>
      </c>
      <c r="L499" s="482">
        <v>0.15</v>
      </c>
      <c r="M499" s="479"/>
      <c r="N499" s="479">
        <f t="shared" si="179"/>
        <v>0</v>
      </c>
      <c r="O499" s="479"/>
    </row>
    <row r="500" spans="1:16" s="264" customFormat="1" hidden="1" x14ac:dyDescent="0.25">
      <c r="A500" s="479"/>
      <c r="B500" s="479"/>
      <c r="C500" s="479"/>
      <c r="D500" s="479"/>
      <c r="E500" s="479"/>
      <c r="F500" s="479"/>
      <c r="G500" s="479"/>
      <c r="H500" s="479"/>
      <c r="I500" s="479"/>
      <c r="J500" s="482"/>
      <c r="K500" s="482"/>
      <c r="L500" s="482">
        <f t="shared" ref="L500" si="182">G500+K500</f>
        <v>0</v>
      </c>
      <c r="M500" s="479" t="s">
        <v>463</v>
      </c>
      <c r="N500" s="479" t="e">
        <f>SUM(N492:N499)</f>
        <v>#DIV/0!</v>
      </c>
      <c r="O500" s="479"/>
    </row>
    <row r="501" spans="1:16" s="264" customFormat="1" hidden="1" x14ac:dyDescent="0.25">
      <c r="A501" s="479"/>
      <c r="B501" s="479"/>
      <c r="C501" s="479"/>
      <c r="D501" s="479"/>
      <c r="E501" s="481">
        <f>SUM(E492:E497)</f>
        <v>0</v>
      </c>
      <c r="F501" s="479"/>
      <c r="G501" s="481">
        <f>SUM(G492:G497)</f>
        <v>0</v>
      </c>
      <c r="H501" s="479"/>
      <c r="I501" s="479"/>
      <c r="J501" s="482"/>
      <c r="K501" s="482"/>
      <c r="L501" s="482"/>
      <c r="M501" s="479"/>
      <c r="N501" s="479"/>
      <c r="O501" s="479"/>
    </row>
    <row r="502" spans="1:16" s="264" customFormat="1" hidden="1" x14ac:dyDescent="0.25">
      <c r="A502" s="479"/>
      <c r="B502" s="479"/>
      <c r="C502" s="479"/>
      <c r="D502" s="479"/>
      <c r="E502" s="479"/>
      <c r="F502" s="479"/>
      <c r="G502" s="479"/>
      <c r="H502" s="479"/>
      <c r="I502" s="479"/>
      <c r="J502" s="482"/>
      <c r="K502" s="482"/>
      <c r="L502" s="482"/>
      <c r="M502" s="479"/>
      <c r="N502" s="479"/>
      <c r="O502" s="479"/>
    </row>
    <row r="503" spans="1:16" s="264" customFormat="1" hidden="1" x14ac:dyDescent="0.25">
      <c r="A503" s="479"/>
      <c r="B503" s="479"/>
      <c r="C503" s="483" t="s">
        <v>264</v>
      </c>
      <c r="D503" s="483" t="s">
        <v>265</v>
      </c>
      <c r="E503" s="483" t="s">
        <v>266</v>
      </c>
      <c r="F503" s="483" t="s">
        <v>265</v>
      </c>
      <c r="G503" s="483" t="s">
        <v>267</v>
      </c>
      <c r="H503" s="483" t="s">
        <v>268</v>
      </c>
      <c r="I503" s="483" t="s">
        <v>269</v>
      </c>
      <c r="J503" s="484" t="s">
        <v>270</v>
      </c>
      <c r="K503" s="484" t="s">
        <v>462</v>
      </c>
      <c r="L503" s="484" t="s">
        <v>458</v>
      </c>
      <c r="M503" s="483"/>
      <c r="N503" s="483" t="s">
        <v>459</v>
      </c>
      <c r="O503" s="483" t="s">
        <v>460</v>
      </c>
      <c r="P503" s="438" t="s">
        <v>461</v>
      </c>
    </row>
    <row r="504" spans="1:16" s="264" customFormat="1" hidden="1" x14ac:dyDescent="0.25">
      <c r="A504" s="479"/>
      <c r="B504" s="694" t="s">
        <v>282</v>
      </c>
      <c r="C504" s="479"/>
      <c r="D504" s="479"/>
      <c r="E504" s="479"/>
      <c r="F504" s="479"/>
      <c r="G504" s="479"/>
      <c r="H504" s="479"/>
      <c r="I504" s="479"/>
      <c r="J504" s="482" t="e">
        <f t="shared" ref="J504:J512" si="183">G504/I504</f>
        <v>#DIV/0!</v>
      </c>
      <c r="K504" s="482"/>
      <c r="L504" s="482">
        <v>0.15</v>
      </c>
      <c r="M504" s="479"/>
      <c r="N504" s="479">
        <f>K504-M504</f>
        <v>0</v>
      </c>
      <c r="O504" s="479"/>
    </row>
    <row r="505" spans="1:16" s="264" customFormat="1" hidden="1" x14ac:dyDescent="0.25">
      <c r="A505" s="479"/>
      <c r="B505" s="694"/>
      <c r="C505" s="479"/>
      <c r="D505" s="479"/>
      <c r="E505" s="479"/>
      <c r="F505" s="479"/>
      <c r="G505" s="479"/>
      <c r="H505" s="479"/>
      <c r="I505" s="479"/>
      <c r="J505" s="482" t="e">
        <f t="shared" si="183"/>
        <v>#DIV/0!</v>
      </c>
      <c r="K505" s="482" t="e">
        <f>(G505*0.005)*J505</f>
        <v>#DIV/0!</v>
      </c>
      <c r="L505" s="482">
        <v>0.15</v>
      </c>
      <c r="M505" s="479"/>
      <c r="N505" s="479" t="e">
        <f t="shared" ref="N505:N512" si="184">K505-M505</f>
        <v>#DIV/0!</v>
      </c>
      <c r="O505" s="479"/>
    </row>
    <row r="506" spans="1:16" s="264" customFormat="1" hidden="1" x14ac:dyDescent="0.25">
      <c r="A506" s="479"/>
      <c r="B506" s="694"/>
      <c r="C506" s="479"/>
      <c r="D506" s="479"/>
      <c r="E506" s="479"/>
      <c r="F506" s="479"/>
      <c r="G506" s="479"/>
      <c r="H506" s="479"/>
      <c r="I506" s="479"/>
      <c r="J506" s="482" t="e">
        <f t="shared" si="183"/>
        <v>#DIV/0!</v>
      </c>
      <c r="K506" s="482" t="e">
        <f t="shared" ref="K506" si="185">(G506*0.005)*J506</f>
        <v>#DIV/0!</v>
      </c>
      <c r="L506" s="482">
        <v>0.15</v>
      </c>
      <c r="M506" s="479"/>
      <c r="N506" s="479" t="e">
        <f t="shared" si="184"/>
        <v>#DIV/0!</v>
      </c>
      <c r="O506" s="479"/>
    </row>
    <row r="507" spans="1:16" s="264" customFormat="1" hidden="1" x14ac:dyDescent="0.25">
      <c r="A507" s="479"/>
      <c r="B507" s="694"/>
      <c r="C507" s="479"/>
      <c r="D507" s="479"/>
      <c r="E507" s="479"/>
      <c r="F507" s="479"/>
      <c r="G507" s="479"/>
      <c r="H507" s="479"/>
      <c r="I507" s="479"/>
      <c r="J507" s="482" t="e">
        <f t="shared" si="183"/>
        <v>#DIV/0!</v>
      </c>
      <c r="K507" s="482" t="e">
        <f>(G507*0.005)*J507</f>
        <v>#DIV/0!</v>
      </c>
      <c r="L507" s="482">
        <v>0.15</v>
      </c>
      <c r="M507" s="479"/>
      <c r="N507" s="479" t="e">
        <f t="shared" si="184"/>
        <v>#DIV/0!</v>
      </c>
      <c r="O507" s="479"/>
    </row>
    <row r="508" spans="1:16" s="264" customFormat="1" hidden="1" x14ac:dyDescent="0.25">
      <c r="A508" s="479"/>
      <c r="B508" s="694"/>
      <c r="C508" s="479"/>
      <c r="D508" s="479"/>
      <c r="E508" s="479"/>
      <c r="F508" s="479"/>
      <c r="G508" s="479"/>
      <c r="H508" s="479"/>
      <c r="I508" s="479"/>
      <c r="J508" s="482" t="e">
        <f t="shared" si="183"/>
        <v>#DIV/0!</v>
      </c>
      <c r="K508" s="482" t="e">
        <f t="shared" ref="K508:K512" si="186">(G508*0.005)*J508</f>
        <v>#DIV/0!</v>
      </c>
      <c r="L508" s="482">
        <v>0.15</v>
      </c>
      <c r="M508" s="479"/>
      <c r="N508" s="479" t="e">
        <f t="shared" si="184"/>
        <v>#DIV/0!</v>
      </c>
      <c r="O508" s="479"/>
    </row>
    <row r="509" spans="1:16" s="264" customFormat="1" hidden="1" x14ac:dyDescent="0.25">
      <c r="A509" s="479"/>
      <c r="B509" s="694"/>
      <c r="C509" s="479"/>
      <c r="D509" s="479"/>
      <c r="E509" s="479"/>
      <c r="F509" s="479"/>
      <c r="G509" s="479"/>
      <c r="H509" s="479"/>
      <c r="I509" s="479"/>
      <c r="J509" s="482" t="e">
        <f t="shared" si="183"/>
        <v>#DIV/0!</v>
      </c>
      <c r="K509" s="482" t="e">
        <f t="shared" si="186"/>
        <v>#DIV/0!</v>
      </c>
      <c r="L509" s="482">
        <v>0.15</v>
      </c>
      <c r="M509" s="479"/>
      <c r="N509" s="479" t="e">
        <f t="shared" si="184"/>
        <v>#DIV/0!</v>
      </c>
      <c r="O509" s="479"/>
    </row>
    <row r="510" spans="1:16" s="264" customFormat="1" hidden="1" x14ac:dyDescent="0.25">
      <c r="A510" s="479"/>
      <c r="B510" s="694"/>
      <c r="C510" s="479"/>
      <c r="D510" s="479"/>
      <c r="E510" s="479"/>
      <c r="F510" s="479"/>
      <c r="G510" s="479"/>
      <c r="H510" s="479"/>
      <c r="I510" s="479"/>
      <c r="J510" s="482" t="e">
        <f t="shared" si="183"/>
        <v>#DIV/0!</v>
      </c>
      <c r="K510" s="482" t="e">
        <f t="shared" si="186"/>
        <v>#DIV/0!</v>
      </c>
      <c r="L510" s="482">
        <v>0.15</v>
      </c>
      <c r="M510" s="479"/>
      <c r="N510" s="479" t="e">
        <f t="shared" si="184"/>
        <v>#DIV/0!</v>
      </c>
      <c r="O510" s="479"/>
    </row>
    <row r="511" spans="1:16" s="264" customFormat="1" hidden="1" x14ac:dyDescent="0.25">
      <c r="A511" s="479"/>
      <c r="B511" s="694"/>
      <c r="C511" s="479"/>
      <c r="D511" s="479"/>
      <c r="E511" s="479"/>
      <c r="F511" s="479"/>
      <c r="G511" s="479"/>
      <c r="H511" s="479"/>
      <c r="I511" s="479"/>
      <c r="J511" s="482" t="e">
        <f t="shared" si="183"/>
        <v>#DIV/0!</v>
      </c>
      <c r="K511" s="482" t="e">
        <f t="shared" si="186"/>
        <v>#DIV/0!</v>
      </c>
      <c r="L511" s="482">
        <v>0.15</v>
      </c>
      <c r="M511" s="479"/>
      <c r="N511" s="479" t="e">
        <f t="shared" si="184"/>
        <v>#DIV/0!</v>
      </c>
      <c r="O511" s="479"/>
    </row>
    <row r="512" spans="1:16" s="264" customFormat="1" hidden="1" x14ac:dyDescent="0.25">
      <c r="A512" s="479"/>
      <c r="B512" s="694"/>
      <c r="C512" s="479"/>
      <c r="D512" s="479"/>
      <c r="E512" s="479"/>
      <c r="F512" s="479"/>
      <c r="G512" s="479"/>
      <c r="H512" s="479"/>
      <c r="I512" s="479"/>
      <c r="J512" s="482" t="e">
        <f t="shared" si="183"/>
        <v>#DIV/0!</v>
      </c>
      <c r="K512" s="482" t="e">
        <f t="shared" si="186"/>
        <v>#DIV/0!</v>
      </c>
      <c r="L512" s="482">
        <v>0.15</v>
      </c>
      <c r="M512" s="479"/>
      <c r="N512" s="479" t="e">
        <f t="shared" si="184"/>
        <v>#DIV/0!</v>
      </c>
      <c r="O512" s="479"/>
    </row>
    <row r="513" spans="1:15" s="264" customFormat="1" hidden="1" x14ac:dyDescent="0.25">
      <c r="A513" s="479"/>
      <c r="B513" s="479"/>
      <c r="C513" s="479"/>
      <c r="D513" s="479"/>
      <c r="E513" s="479"/>
      <c r="F513" s="479"/>
      <c r="G513" s="479"/>
      <c r="H513" s="479"/>
      <c r="I513" s="479"/>
      <c r="J513" s="482"/>
      <c r="K513" s="482"/>
      <c r="L513" s="482"/>
      <c r="M513" s="479" t="s">
        <v>463</v>
      </c>
      <c r="N513" s="479" t="e">
        <f>SUM(N504:N512)</f>
        <v>#DIV/0!</v>
      </c>
      <c r="O513" s="479"/>
    </row>
    <row r="514" spans="1:15" s="264" customFormat="1" hidden="1" x14ac:dyDescent="0.25">
      <c r="A514" s="479"/>
      <c r="B514" s="479"/>
      <c r="C514" s="479"/>
      <c r="D514" s="479"/>
      <c r="E514" s="481">
        <f>SUM(E504:E512)</f>
        <v>0</v>
      </c>
      <c r="F514" s="479"/>
      <c r="G514" s="481">
        <f>SUM(G504:G512)</f>
        <v>0</v>
      </c>
      <c r="H514" s="479"/>
      <c r="I514" s="479"/>
      <c r="J514" s="479"/>
      <c r="K514" s="482"/>
      <c r="L514" s="479"/>
      <c r="M514" s="479"/>
      <c r="N514" s="479"/>
      <c r="O514" s="479"/>
    </row>
    <row r="515" spans="1:15" s="264" customFormat="1" hidden="1" x14ac:dyDescent="0.25">
      <c r="A515" s="479"/>
      <c r="B515" s="479"/>
      <c r="C515" s="479"/>
      <c r="D515" s="479"/>
      <c r="E515" s="479"/>
      <c r="F515" s="479"/>
      <c r="G515" s="479"/>
      <c r="H515" s="479"/>
      <c r="I515" s="479"/>
      <c r="J515" s="479"/>
      <c r="K515" s="479"/>
      <c r="L515" s="479"/>
      <c r="M515" s="479" t="s">
        <v>466</v>
      </c>
      <c r="N515" s="479" t="e">
        <f>SUM(N408+N417+N424+N431+#REF!+#REF!+#REF!+N465+N478+N489+N500+N513)</f>
        <v>#DIV/0!</v>
      </c>
      <c r="O515" s="479"/>
    </row>
    <row r="516" spans="1:15" s="264" customFormat="1" ht="15.75" thickBot="1" x14ac:dyDescent="0.3">
      <c r="A516" s="565"/>
      <c r="B516" s="566"/>
      <c r="C516" s="443" t="s">
        <v>0</v>
      </c>
      <c r="D516" s="443" t="s">
        <v>1</v>
      </c>
      <c r="E516" s="444" t="s">
        <v>2</v>
      </c>
      <c r="F516" s="443" t="s">
        <v>3</v>
      </c>
      <c r="G516" s="444" t="s">
        <v>4</v>
      </c>
      <c r="H516" s="443" t="s">
        <v>5</v>
      </c>
      <c r="I516" s="443" t="s">
        <v>6</v>
      </c>
      <c r="J516" s="444" t="s">
        <v>7</v>
      </c>
      <c r="K516" s="444" t="s">
        <v>8</v>
      </c>
      <c r="L516" s="444" t="s">
        <v>9</v>
      </c>
      <c r="M516" s="444" t="s">
        <v>10</v>
      </c>
      <c r="N516" s="567" t="s">
        <v>11</v>
      </c>
      <c r="O516" s="479"/>
    </row>
    <row r="517" spans="1:15" x14ac:dyDescent="0.25">
      <c r="A517" s="502" t="s">
        <v>653</v>
      </c>
      <c r="B517" s="509" t="s">
        <v>568</v>
      </c>
      <c r="C517" s="509" t="s">
        <v>687</v>
      </c>
      <c r="D517" s="509"/>
      <c r="E517" s="509"/>
      <c r="F517" s="509"/>
      <c r="G517" s="509"/>
      <c r="H517" s="509"/>
      <c r="I517" s="509"/>
      <c r="J517" s="509"/>
      <c r="K517" s="509"/>
      <c r="L517" s="509"/>
      <c r="M517" s="509"/>
      <c r="N517" s="445"/>
    </row>
    <row r="518" spans="1:15" x14ac:dyDescent="0.25">
      <c r="A518" s="487" t="s">
        <v>654</v>
      </c>
      <c r="B518" t="s">
        <v>679</v>
      </c>
      <c r="C518" t="s">
        <v>688</v>
      </c>
      <c r="N518" s="460"/>
    </row>
    <row r="519" spans="1:15" x14ac:dyDescent="0.25">
      <c r="A519" s="487" t="s">
        <v>656</v>
      </c>
      <c r="B519" t="s">
        <v>573</v>
      </c>
      <c r="C519" s="479">
        <v>5000</v>
      </c>
      <c r="N519" s="460"/>
    </row>
    <row r="520" spans="1:15" ht="15.75" thickBot="1" x14ac:dyDescent="0.3">
      <c r="A520" s="568" t="s">
        <v>680</v>
      </c>
      <c r="B520" s="492" t="s">
        <v>574</v>
      </c>
      <c r="C520" s="572">
        <v>400</v>
      </c>
      <c r="D520" s="492"/>
      <c r="E520" s="492"/>
      <c r="F520" s="492"/>
      <c r="G520" s="492"/>
      <c r="H520" s="492"/>
      <c r="I520" s="492"/>
      <c r="J520" s="492"/>
      <c r="K520" s="492"/>
      <c r="L520" s="492"/>
      <c r="M520" s="492"/>
      <c r="N520" s="464"/>
    </row>
    <row r="521" spans="1:15" ht="15.75" thickBot="1" x14ac:dyDescent="0.3">
      <c r="A521" s="446"/>
      <c r="N521" s="460"/>
    </row>
    <row r="522" spans="1:15" x14ac:dyDescent="0.25">
      <c r="A522" s="502" t="s">
        <v>545</v>
      </c>
      <c r="B522" s="509" t="s">
        <v>655</v>
      </c>
      <c r="C522" s="509" t="s">
        <v>689</v>
      </c>
      <c r="D522" s="509"/>
      <c r="E522" s="509"/>
      <c r="F522" s="509"/>
      <c r="G522" s="509"/>
      <c r="H522" s="509"/>
      <c r="I522" s="509"/>
      <c r="J522" s="509"/>
      <c r="K522" s="509"/>
      <c r="L522" s="509"/>
      <c r="M522" s="509"/>
      <c r="N522" s="445"/>
    </row>
    <row r="523" spans="1:15" x14ac:dyDescent="0.25">
      <c r="A523" s="487" t="s">
        <v>548</v>
      </c>
      <c r="B523" t="s">
        <v>681</v>
      </c>
      <c r="C523" t="s">
        <v>689</v>
      </c>
      <c r="N523" s="460"/>
    </row>
    <row r="524" spans="1:15" x14ac:dyDescent="0.25">
      <c r="A524" s="487" t="s">
        <v>551</v>
      </c>
      <c r="B524" t="s">
        <v>682</v>
      </c>
      <c r="C524" t="s">
        <v>690</v>
      </c>
      <c r="N524" s="460"/>
    </row>
    <row r="525" spans="1:15" ht="15.75" thickBot="1" x14ac:dyDescent="0.3">
      <c r="A525" s="568" t="s">
        <v>555</v>
      </c>
      <c r="B525" s="492" t="s">
        <v>693</v>
      </c>
      <c r="C525" s="492" t="s">
        <v>691</v>
      </c>
      <c r="D525" s="492"/>
      <c r="E525" s="492"/>
      <c r="F525" s="492"/>
      <c r="G525" s="492"/>
      <c r="H525" s="492"/>
      <c r="I525" s="492"/>
      <c r="J525" s="492"/>
      <c r="K525" s="492"/>
      <c r="L525" s="492"/>
      <c r="M525" s="492"/>
      <c r="N525" s="464"/>
    </row>
    <row r="526" spans="1:15" ht="15.75" thickBot="1" x14ac:dyDescent="0.3">
      <c r="A526" s="446"/>
      <c r="N526" s="460"/>
    </row>
    <row r="527" spans="1:15" ht="15.75" thickBot="1" x14ac:dyDescent="0.3">
      <c r="A527" s="569" t="s">
        <v>577</v>
      </c>
      <c r="B527" s="570" t="s">
        <v>664</v>
      </c>
      <c r="C527" s="570" t="s">
        <v>692</v>
      </c>
      <c r="D527" s="570"/>
      <c r="E527" s="570"/>
      <c r="F527" s="570"/>
      <c r="G527" s="570"/>
      <c r="H527" s="570"/>
      <c r="I527" s="570"/>
      <c r="J527" s="570"/>
      <c r="K527" s="570"/>
      <c r="L527" s="570"/>
      <c r="M527" s="570"/>
      <c r="N527" s="571"/>
    </row>
    <row r="528" spans="1:15" ht="15.75" thickBot="1" x14ac:dyDescent="0.3">
      <c r="A528" s="446"/>
      <c r="N528" s="460"/>
    </row>
    <row r="529" spans="1:14" x14ac:dyDescent="0.25">
      <c r="A529" s="502" t="s">
        <v>584</v>
      </c>
      <c r="B529" s="509" t="s">
        <v>578</v>
      </c>
      <c r="C529" s="509" t="s">
        <v>691</v>
      </c>
      <c r="D529" s="509"/>
      <c r="E529" s="509"/>
      <c r="F529" s="509"/>
      <c r="G529" s="509"/>
      <c r="H529" s="509"/>
      <c r="I529" s="509"/>
      <c r="J529" s="509"/>
      <c r="K529" s="509"/>
      <c r="L529" s="509"/>
      <c r="M529" s="509"/>
      <c r="N529" s="445"/>
    </row>
    <row r="530" spans="1:14" x14ac:dyDescent="0.25">
      <c r="A530" s="487" t="s">
        <v>585</v>
      </c>
      <c r="B530" t="s">
        <v>683</v>
      </c>
      <c r="C530" t="s">
        <v>694</v>
      </c>
      <c r="N530" s="460"/>
    </row>
    <row r="531" spans="1:14" ht="15.75" thickBot="1" x14ac:dyDescent="0.3">
      <c r="A531" s="568" t="s">
        <v>665</v>
      </c>
      <c r="B531" s="492" t="s">
        <v>684</v>
      </c>
      <c r="C531" s="492" t="s">
        <v>629</v>
      </c>
      <c r="D531" s="492"/>
      <c r="E531" s="492"/>
      <c r="F531" s="492"/>
      <c r="G531" s="492"/>
      <c r="H531" s="492"/>
      <c r="I531" s="492"/>
      <c r="J531" s="492"/>
      <c r="K531" s="492"/>
      <c r="L531" s="492"/>
      <c r="M531" s="492"/>
      <c r="N531" s="464"/>
    </row>
  </sheetData>
  <mergeCells count="13">
    <mergeCell ref="B481:B489"/>
    <mergeCell ref="B492:B499"/>
    <mergeCell ref="B504:B512"/>
    <mergeCell ref="B433:B438"/>
    <mergeCell ref="B441:B446"/>
    <mergeCell ref="B449:B454"/>
    <mergeCell ref="B458:B467"/>
    <mergeCell ref="B470:B477"/>
    <mergeCell ref="B2:N3"/>
    <mergeCell ref="B400:B404"/>
    <mergeCell ref="B410:B414"/>
    <mergeCell ref="B419:B423"/>
    <mergeCell ref="B426:B430"/>
  </mergeCells>
  <phoneticPr fontId="97" type="noConversion"/>
  <pageMargins left="0.75" right="0.75" top="1" bottom="1" header="0.5" footer="0.5"/>
  <pageSetup paperSize="9" orientation="portrait" verticalDpi="4294967295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T415"/>
  <sheetViews>
    <sheetView topLeftCell="A158" zoomScale="70" zoomScaleNormal="70" workbookViewId="0">
      <pane xSplit="2" topLeftCell="C1" activePane="topRight" state="frozen"/>
      <selection pane="topRight" activeCell="C302" sqref="C302"/>
    </sheetView>
  </sheetViews>
  <sheetFormatPr defaultColWidth="14.5703125" defaultRowHeight="15" x14ac:dyDescent="0.25"/>
  <cols>
    <col min="1" max="1" width="21.42578125" customWidth="1"/>
    <col min="2" max="2" width="35.85546875" customWidth="1"/>
    <col min="3" max="3" width="20.140625" customWidth="1"/>
    <col min="4" max="4" width="19.85546875" customWidth="1"/>
    <col min="5" max="5" width="19.5703125" customWidth="1"/>
    <col min="6" max="6" width="24" customWidth="1"/>
    <col min="7" max="7" width="20.28515625" customWidth="1"/>
    <col min="8" max="8" width="17.28515625" customWidth="1"/>
    <col min="9" max="9" width="19.140625" customWidth="1"/>
    <col min="10" max="10" width="18" customWidth="1"/>
    <col min="11" max="11" width="18.28515625" customWidth="1"/>
    <col min="12" max="12" width="17.42578125" customWidth="1"/>
    <col min="13" max="13" width="18.5703125" customWidth="1"/>
    <col min="14" max="14" width="19.42578125" customWidth="1"/>
    <col min="15" max="15" width="20.85546875" customWidth="1"/>
    <col min="16" max="16" width="24.42578125" customWidth="1"/>
    <col min="17" max="17" width="18.42578125" customWidth="1"/>
    <col min="18" max="18" width="13.28515625" customWidth="1"/>
  </cols>
  <sheetData>
    <row r="1" spans="2:20" ht="16.5" customHeight="1" x14ac:dyDescent="0.25"/>
    <row r="2" spans="2:20" ht="15.75" customHeight="1" x14ac:dyDescent="0.25">
      <c r="B2" s="687" t="s">
        <v>107</v>
      </c>
      <c r="C2" s="688"/>
      <c r="D2" s="688"/>
      <c r="E2" s="688"/>
      <c r="F2" s="688"/>
      <c r="G2" s="688"/>
      <c r="H2" s="688"/>
      <c r="I2" s="688"/>
      <c r="J2" s="688"/>
      <c r="K2" s="688"/>
      <c r="L2" s="688"/>
      <c r="M2" s="688"/>
      <c r="N2" s="689"/>
    </row>
    <row r="3" spans="2:20" ht="16.5" customHeight="1" x14ac:dyDescent="0.25">
      <c r="B3" s="690"/>
      <c r="C3" s="691"/>
      <c r="D3" s="691"/>
      <c r="E3" s="691"/>
      <c r="F3" s="691"/>
      <c r="G3" s="691"/>
      <c r="H3" s="691"/>
      <c r="I3" s="691"/>
      <c r="J3" s="691"/>
      <c r="K3" s="691"/>
      <c r="L3" s="691"/>
      <c r="M3" s="691"/>
      <c r="N3" s="692"/>
    </row>
    <row r="4" spans="2:20" ht="15.75" customHeight="1" x14ac:dyDescent="0.25">
      <c r="J4" s="56"/>
    </row>
    <row r="5" spans="2:20" ht="15.75" customHeight="1" x14ac:dyDescent="0.25">
      <c r="B5" s="1">
        <v>2020</v>
      </c>
      <c r="C5" s="2" t="s">
        <v>0</v>
      </c>
      <c r="D5" s="2" t="s">
        <v>1</v>
      </c>
      <c r="E5" s="2" t="s">
        <v>2</v>
      </c>
      <c r="F5" s="2" t="s">
        <v>3</v>
      </c>
      <c r="G5" s="3" t="s">
        <v>4</v>
      </c>
      <c r="H5" s="2" t="s">
        <v>5</v>
      </c>
      <c r="I5" s="2" t="s">
        <v>6</v>
      </c>
      <c r="J5" s="3" t="s">
        <v>7</v>
      </c>
      <c r="K5" s="3" t="s">
        <v>8</v>
      </c>
      <c r="L5" s="3" t="s">
        <v>9</v>
      </c>
      <c r="M5" s="3" t="s">
        <v>10</v>
      </c>
      <c r="N5" s="2" t="s">
        <v>11</v>
      </c>
      <c r="O5" s="42"/>
      <c r="P5" s="42"/>
      <c r="Q5" s="43"/>
      <c r="R5" s="4"/>
      <c r="T5" s="44"/>
    </row>
    <row r="6" spans="2:20" ht="19.5" customHeight="1" x14ac:dyDescent="0.3">
      <c r="B6" s="37" t="s">
        <v>95</v>
      </c>
      <c r="C6" s="48"/>
      <c r="D6" s="48"/>
      <c r="E6" s="48"/>
      <c r="F6" s="48"/>
      <c r="G6" s="57">
        <v>5000</v>
      </c>
      <c r="H6" s="48">
        <v>5000</v>
      </c>
      <c r="I6" s="48">
        <v>5000</v>
      </c>
      <c r="J6" s="48">
        <v>5000</v>
      </c>
      <c r="K6" s="7">
        <v>5000</v>
      </c>
      <c r="L6" s="7">
        <v>5000</v>
      </c>
      <c r="M6" s="7">
        <v>10000</v>
      </c>
      <c r="N6" s="7">
        <v>10000</v>
      </c>
      <c r="O6" s="13"/>
      <c r="P6" s="13"/>
      <c r="Q6" s="13"/>
      <c r="R6" s="12"/>
      <c r="T6" s="36"/>
    </row>
    <row r="7" spans="2:20" ht="15.75" customHeight="1" x14ac:dyDescent="0.25">
      <c r="B7" s="58" t="s">
        <v>96</v>
      </c>
      <c r="C7" s="46"/>
      <c r="D7" s="46"/>
      <c r="E7" s="46"/>
      <c r="F7" s="46"/>
      <c r="G7" s="59">
        <v>2500</v>
      </c>
      <c r="H7" s="46">
        <f>H6/2</f>
        <v>2500</v>
      </c>
      <c r="I7" s="46"/>
      <c r="J7" s="46"/>
      <c r="K7" s="4"/>
      <c r="L7" s="4"/>
      <c r="M7" s="4"/>
      <c r="N7" s="4"/>
      <c r="O7" s="33"/>
      <c r="P7" s="33"/>
      <c r="Q7" s="33"/>
    </row>
    <row r="8" spans="2:20" ht="15.75" customHeight="1" x14ac:dyDescent="0.25">
      <c r="B8" s="45" t="s">
        <v>13</v>
      </c>
      <c r="C8" s="46"/>
      <c r="D8" s="46"/>
      <c r="E8" s="46"/>
      <c r="F8" s="46"/>
      <c r="G8" s="46">
        <v>113.15</v>
      </c>
      <c r="H8" s="46">
        <v>705.9</v>
      </c>
      <c r="I8" s="46">
        <v>1071.77</v>
      </c>
      <c r="J8" s="46">
        <v>2986.76</v>
      </c>
      <c r="K8" s="4">
        <v>3210.4</v>
      </c>
      <c r="L8" s="4">
        <v>2477.71</v>
      </c>
      <c r="M8" s="4">
        <v>713.93</v>
      </c>
      <c r="N8" s="4">
        <v>431.2</v>
      </c>
      <c r="O8" s="33"/>
      <c r="P8" s="33"/>
      <c r="Q8" s="33"/>
    </row>
    <row r="9" spans="2:20" ht="15.75" customHeight="1" x14ac:dyDescent="0.25">
      <c r="B9" s="47" t="s">
        <v>14</v>
      </c>
      <c r="C9" s="48"/>
      <c r="D9" s="48"/>
      <c r="E9" s="48"/>
      <c r="F9" s="48"/>
      <c r="G9" s="46">
        <v>210</v>
      </c>
      <c r="H9" s="48">
        <v>1411</v>
      </c>
      <c r="I9" s="48">
        <v>3948.82</v>
      </c>
      <c r="J9" s="48">
        <v>2050.8000000000002</v>
      </c>
      <c r="K9" s="12">
        <v>1952</v>
      </c>
      <c r="L9" s="12">
        <v>2677</v>
      </c>
      <c r="M9" s="12">
        <v>2704.5</v>
      </c>
      <c r="N9" s="12">
        <v>1523.25</v>
      </c>
      <c r="O9" s="41"/>
      <c r="P9" s="41"/>
      <c r="Q9" s="41"/>
      <c r="R9" s="12"/>
    </row>
    <row r="10" spans="2:20" ht="16.5" customHeight="1" x14ac:dyDescent="0.25">
      <c r="B10" s="60" t="s">
        <v>108</v>
      </c>
      <c r="C10" s="61"/>
      <c r="D10" s="61"/>
      <c r="E10" s="61"/>
      <c r="F10" s="61"/>
      <c r="G10" s="62">
        <f t="shared" ref="G10:M10" si="0">SUM(G8+G9)</f>
        <v>323.14999999999998</v>
      </c>
      <c r="H10" s="61">
        <f t="shared" si="0"/>
        <v>2116.9</v>
      </c>
      <c r="I10" s="63">
        <f t="shared" si="0"/>
        <v>5020.59</v>
      </c>
      <c r="J10" s="63">
        <f t="shared" si="0"/>
        <v>5037.5600000000004</v>
      </c>
      <c r="K10" s="63">
        <f t="shared" si="0"/>
        <v>5162.3999999999996</v>
      </c>
      <c r="L10" s="63">
        <f t="shared" si="0"/>
        <v>5154.71</v>
      </c>
      <c r="M10" s="62">
        <f t="shared" si="0"/>
        <v>3418.43</v>
      </c>
      <c r="N10" s="62">
        <v>1954.45</v>
      </c>
      <c r="O10" s="75">
        <f>SUM(G10:N10)</f>
        <v>28188.19</v>
      </c>
      <c r="P10" s="64">
        <f>O10/8</f>
        <v>3523.5237499999998</v>
      </c>
      <c r="Q10" s="31"/>
    </row>
    <row r="11" spans="2:20" ht="15.75" hidden="1" customHeight="1" x14ac:dyDescent="0.25">
      <c r="B11" s="14" t="s">
        <v>16</v>
      </c>
      <c r="O11" s="22"/>
      <c r="P11" s="22"/>
      <c r="Q11" s="22"/>
    </row>
    <row r="12" spans="2:20" ht="15.75" hidden="1" customHeight="1" x14ac:dyDescent="0.25">
      <c r="B12" s="14" t="s">
        <v>17</v>
      </c>
      <c r="C12" s="17"/>
      <c r="D12" s="17"/>
      <c r="E12" s="17"/>
      <c r="F12" s="17"/>
      <c r="G12" s="17"/>
      <c r="H12" s="17"/>
      <c r="I12" s="17"/>
      <c r="J12" s="17"/>
      <c r="O12" s="43"/>
      <c r="P12" s="43"/>
      <c r="Q12" s="43"/>
    </row>
    <row r="13" spans="2:20" ht="15.75" customHeight="1" x14ac:dyDescent="0.25">
      <c r="B13" s="14"/>
      <c r="C13" s="17"/>
      <c r="D13" s="17"/>
      <c r="E13" s="17"/>
      <c r="F13" s="17"/>
      <c r="G13" s="17"/>
      <c r="H13" s="17"/>
      <c r="I13" s="17"/>
      <c r="J13" s="17"/>
      <c r="O13" s="43"/>
      <c r="P13" s="43"/>
      <c r="Q13" s="43"/>
    </row>
    <row r="14" spans="2:20" ht="15.75" customHeight="1" x14ac:dyDescent="0.25">
      <c r="B14" s="1">
        <v>2021</v>
      </c>
      <c r="C14" s="2" t="s">
        <v>0</v>
      </c>
      <c r="D14" s="2" t="s">
        <v>1</v>
      </c>
      <c r="E14" s="2" t="s">
        <v>2</v>
      </c>
      <c r="F14" s="2" t="s">
        <v>3</v>
      </c>
      <c r="G14" s="3" t="s">
        <v>4</v>
      </c>
      <c r="H14" s="2" t="s">
        <v>5</v>
      </c>
      <c r="I14" s="2" t="s">
        <v>6</v>
      </c>
      <c r="J14" s="3" t="s">
        <v>7</v>
      </c>
      <c r="K14" s="3" t="s">
        <v>8</v>
      </c>
      <c r="L14" s="3" t="s">
        <v>9</v>
      </c>
      <c r="M14" s="3" t="s">
        <v>10</v>
      </c>
      <c r="N14" s="19" t="s">
        <v>11</v>
      </c>
      <c r="O14" s="42"/>
      <c r="P14" s="42"/>
      <c r="Q14" s="43"/>
      <c r="R14" s="4"/>
      <c r="T14" s="44"/>
    </row>
    <row r="15" spans="2:20" ht="19.5" customHeight="1" x14ac:dyDescent="0.3">
      <c r="B15" s="37" t="s">
        <v>12</v>
      </c>
      <c r="C15" s="7">
        <v>5000</v>
      </c>
      <c r="D15" s="7">
        <v>5000</v>
      </c>
      <c r="E15" s="7">
        <v>5000</v>
      </c>
      <c r="F15" s="7">
        <v>5000</v>
      </c>
      <c r="G15" s="7">
        <v>5000</v>
      </c>
      <c r="H15" s="7">
        <v>5000</v>
      </c>
      <c r="I15" s="7">
        <v>10000</v>
      </c>
      <c r="J15" s="7">
        <v>15000</v>
      </c>
      <c r="K15" s="7">
        <v>15000</v>
      </c>
      <c r="L15" s="7">
        <v>15000</v>
      </c>
      <c r="M15" s="7">
        <v>15000</v>
      </c>
      <c r="N15" s="7">
        <v>15000</v>
      </c>
      <c r="O15" s="13">
        <f>SUM(C15:N15)</f>
        <v>115000</v>
      </c>
      <c r="P15" s="13"/>
      <c r="Q15" s="13"/>
      <c r="R15" s="12"/>
      <c r="T15" s="36"/>
    </row>
    <row r="16" spans="2:20" ht="19.5" customHeight="1" x14ac:dyDescent="0.3">
      <c r="B16" s="37"/>
      <c r="C16" s="7"/>
      <c r="D16" s="7"/>
      <c r="E16" s="7"/>
      <c r="F16" s="7"/>
      <c r="G16" s="7"/>
      <c r="H16" s="7"/>
      <c r="I16" s="7"/>
      <c r="J16" s="7">
        <v>10000</v>
      </c>
      <c r="K16" s="7">
        <v>10000</v>
      </c>
      <c r="L16" s="7">
        <v>14000</v>
      </c>
      <c r="M16" s="7">
        <v>14000</v>
      </c>
      <c r="N16" s="7">
        <v>13000</v>
      </c>
      <c r="O16" s="13"/>
      <c r="P16" s="13"/>
      <c r="Q16" s="13"/>
      <c r="R16" s="12"/>
      <c r="T16" s="36"/>
    </row>
    <row r="17" spans="2:18" ht="15.75" customHeight="1" x14ac:dyDescent="0.25">
      <c r="B17" s="45" t="s">
        <v>13</v>
      </c>
      <c r="C17" s="46">
        <v>1259.45</v>
      </c>
      <c r="D17" s="46">
        <v>3757.18</v>
      </c>
      <c r="E17" s="46">
        <v>2431.69</v>
      </c>
      <c r="F17" s="46">
        <v>1725.98</v>
      </c>
      <c r="G17" s="46">
        <v>1614.98</v>
      </c>
      <c r="H17" s="46">
        <v>1681.67</v>
      </c>
      <c r="I17" s="46">
        <v>3112.12</v>
      </c>
      <c r="J17" s="46">
        <v>6047.77</v>
      </c>
      <c r="K17" s="4">
        <v>9143.24</v>
      </c>
      <c r="L17" s="4">
        <v>5195.4799999999996</v>
      </c>
      <c r="M17" s="4">
        <v>6489.37</v>
      </c>
      <c r="N17" s="4">
        <v>6117.12</v>
      </c>
      <c r="O17" s="33"/>
      <c r="P17" s="33"/>
      <c r="Q17" s="33"/>
    </row>
    <row r="18" spans="2:18" ht="15.75" customHeight="1" x14ac:dyDescent="0.25">
      <c r="B18" s="47" t="s">
        <v>14</v>
      </c>
      <c r="C18" s="48">
        <v>1526.38</v>
      </c>
      <c r="D18" s="48">
        <v>1807.91</v>
      </c>
      <c r="E18" s="48">
        <v>3765.18</v>
      </c>
      <c r="F18" s="48">
        <v>4142.5600000000004</v>
      </c>
      <c r="G18" s="46">
        <v>3985</v>
      </c>
      <c r="H18" s="46">
        <v>5202.08</v>
      </c>
      <c r="I18" s="46">
        <v>3771</v>
      </c>
      <c r="J18" s="48">
        <v>4044</v>
      </c>
      <c r="K18" s="4">
        <v>4821</v>
      </c>
      <c r="L18" s="12">
        <v>4184.8</v>
      </c>
      <c r="M18" s="12">
        <v>2516.61</v>
      </c>
      <c r="N18" s="12">
        <v>3801</v>
      </c>
      <c r="O18" s="41"/>
      <c r="P18" s="41"/>
      <c r="Q18" s="41"/>
      <c r="R18" s="12"/>
    </row>
    <row r="19" spans="2:18" ht="21.75" customHeight="1" x14ac:dyDescent="0.25">
      <c r="B19" s="11" t="s">
        <v>15</v>
      </c>
      <c r="C19" s="62">
        <f t="shared" ref="C19:N19" si="1">C17+C18</f>
        <v>2785.83</v>
      </c>
      <c r="D19" s="63">
        <f t="shared" si="1"/>
        <v>5565.09</v>
      </c>
      <c r="E19" s="63">
        <f t="shared" si="1"/>
        <v>6196.87</v>
      </c>
      <c r="F19" s="63">
        <f t="shared" si="1"/>
        <v>5868.5400000000009</v>
      </c>
      <c r="G19" s="65">
        <f t="shared" si="1"/>
        <v>5599.98</v>
      </c>
      <c r="H19" s="65">
        <f t="shared" si="1"/>
        <v>6883.75</v>
      </c>
      <c r="I19" s="62">
        <f t="shared" si="1"/>
        <v>6883.12</v>
      </c>
      <c r="J19" s="65">
        <f t="shared" si="1"/>
        <v>10091.77</v>
      </c>
      <c r="K19" s="66">
        <f t="shared" si="1"/>
        <v>13964.24</v>
      </c>
      <c r="L19" s="62">
        <f t="shared" si="1"/>
        <v>9380.2799999999988</v>
      </c>
      <c r="M19" s="62">
        <f t="shared" si="1"/>
        <v>9005.98</v>
      </c>
      <c r="N19" s="62">
        <f t="shared" si="1"/>
        <v>9918.119999999999</v>
      </c>
      <c r="O19" s="67">
        <f>SUM(C19:N19)</f>
        <v>92143.569999999992</v>
      </c>
      <c r="P19" s="64">
        <f>O19/10</f>
        <v>9214.357</v>
      </c>
      <c r="Q19" s="31"/>
    </row>
    <row r="20" spans="2:18" ht="15.75" hidden="1" customHeight="1" x14ac:dyDescent="0.25">
      <c r="B20" s="14" t="s">
        <v>16</v>
      </c>
      <c r="O20" s="22" t="s">
        <v>98</v>
      </c>
      <c r="P20" s="22"/>
      <c r="Q20" s="22"/>
    </row>
    <row r="21" spans="2:18" ht="15.75" hidden="1" customHeight="1" x14ac:dyDescent="0.25">
      <c r="B21" s="14" t="s">
        <v>17</v>
      </c>
      <c r="C21" s="17"/>
      <c r="D21" s="17"/>
      <c r="E21" s="17"/>
      <c r="F21" s="17"/>
      <c r="G21" s="17"/>
      <c r="H21" s="17"/>
      <c r="I21" s="17"/>
      <c r="J21" s="17"/>
      <c r="O21" s="43"/>
      <c r="P21" s="43"/>
      <c r="Q21" s="43"/>
    </row>
    <row r="22" spans="2:18" ht="15.75" hidden="1" customHeight="1" x14ac:dyDescent="0.25">
      <c r="B22" s="14"/>
      <c r="C22" s="17"/>
      <c r="D22" s="17"/>
      <c r="E22" s="17"/>
      <c r="F22" s="17"/>
      <c r="G22" s="17"/>
      <c r="H22" s="17"/>
      <c r="I22" s="17"/>
      <c r="J22" s="17"/>
      <c r="O22" s="43"/>
      <c r="P22" s="43"/>
      <c r="Q22" s="43"/>
    </row>
    <row r="23" spans="2:18" ht="15.75" hidden="1" customHeight="1" x14ac:dyDescent="0.25">
      <c r="B23" s="3">
        <v>2020</v>
      </c>
      <c r="C23" s="19"/>
      <c r="D23" s="19"/>
      <c r="E23" s="19"/>
      <c r="F23" s="19"/>
      <c r="G23" s="19" t="s">
        <v>4</v>
      </c>
      <c r="H23" s="19" t="s">
        <v>5</v>
      </c>
      <c r="I23" s="19" t="s">
        <v>6</v>
      </c>
      <c r="J23" s="19" t="s">
        <v>7</v>
      </c>
      <c r="K23" s="19" t="s">
        <v>8</v>
      </c>
      <c r="L23" s="19" t="s">
        <v>9</v>
      </c>
      <c r="M23" s="19" t="s">
        <v>10</v>
      </c>
      <c r="N23" s="19" t="s">
        <v>11</v>
      </c>
      <c r="O23" s="22"/>
      <c r="P23" s="22"/>
      <c r="Q23" s="22"/>
    </row>
    <row r="24" spans="2:18" ht="15.75" hidden="1" customHeight="1" x14ac:dyDescent="0.25">
      <c r="B24" s="20" t="s">
        <v>18</v>
      </c>
      <c r="G24" s="22">
        <v>4</v>
      </c>
      <c r="H24">
        <v>27</v>
      </c>
      <c r="I24">
        <v>48</v>
      </c>
      <c r="J24">
        <v>42</v>
      </c>
      <c r="K24">
        <v>33</v>
      </c>
      <c r="L24">
        <v>44</v>
      </c>
      <c r="O24" s="22"/>
      <c r="P24" s="22"/>
      <c r="Q24" s="22"/>
    </row>
    <row r="25" spans="2:18" ht="15.75" hidden="1" customHeight="1" x14ac:dyDescent="0.25">
      <c r="B25" s="20" t="s">
        <v>19</v>
      </c>
      <c r="G25">
        <v>12</v>
      </c>
      <c r="H25">
        <v>128</v>
      </c>
      <c r="I25">
        <v>288</v>
      </c>
      <c r="J25">
        <v>406</v>
      </c>
      <c r="K25">
        <v>353</v>
      </c>
      <c r="L25">
        <v>388</v>
      </c>
      <c r="O25" s="41"/>
      <c r="P25" s="41"/>
      <c r="Q25" s="41"/>
    </row>
    <row r="26" spans="2:18" ht="15.75" hidden="1" customHeight="1" x14ac:dyDescent="0.25">
      <c r="B26" s="21" t="s">
        <v>20</v>
      </c>
      <c r="C26" s="68"/>
      <c r="D26" s="68"/>
      <c r="E26" s="68"/>
      <c r="F26" s="68"/>
      <c r="G26" s="68">
        <f t="shared" ref="G26:L26" si="2">G24/G25</f>
        <v>0.33333333333333331</v>
      </c>
      <c r="H26" s="68">
        <f t="shared" si="2"/>
        <v>0.2109375</v>
      </c>
      <c r="I26" s="68">
        <f t="shared" si="2"/>
        <v>0.16666666666666666</v>
      </c>
      <c r="J26" s="68">
        <f t="shared" si="2"/>
        <v>0.10344827586206896</v>
      </c>
      <c r="K26" s="68">
        <f t="shared" si="2"/>
        <v>9.3484419263456089E-2</v>
      </c>
      <c r="L26" s="68">
        <f t="shared" si="2"/>
        <v>0.1134020618556701</v>
      </c>
      <c r="M26" s="12" t="e">
        <f>#REF!/M24</f>
        <v>#REF!</v>
      </c>
      <c r="N26" s="12" t="e">
        <f>#REF!/N24</f>
        <v>#REF!</v>
      </c>
    </row>
    <row r="27" spans="2:18" ht="15.75" hidden="1" customHeight="1" x14ac:dyDescent="0.25"/>
    <row r="28" spans="2:18" ht="15.75" hidden="1" customHeight="1" x14ac:dyDescent="0.25">
      <c r="B28" s="3">
        <v>2021</v>
      </c>
      <c r="C28" s="19" t="s">
        <v>0</v>
      </c>
      <c r="D28" s="19" t="s">
        <v>1</v>
      </c>
      <c r="E28" s="19" t="s">
        <v>2</v>
      </c>
      <c r="F28" s="19" t="s">
        <v>3</v>
      </c>
      <c r="G28" s="19" t="s">
        <v>4</v>
      </c>
      <c r="H28" s="19" t="s">
        <v>5</v>
      </c>
      <c r="I28" s="19" t="s">
        <v>6</v>
      </c>
      <c r="J28" s="19" t="s">
        <v>7</v>
      </c>
      <c r="K28" s="19" t="s">
        <v>8</v>
      </c>
      <c r="L28" s="19" t="s">
        <v>9</v>
      </c>
      <c r="M28" s="19" t="s">
        <v>10</v>
      </c>
      <c r="N28" s="19" t="s">
        <v>11</v>
      </c>
    </row>
    <row r="29" spans="2:18" ht="15.75" hidden="1" customHeight="1" x14ac:dyDescent="0.25">
      <c r="B29" s="23" t="s">
        <v>22</v>
      </c>
      <c r="C29">
        <v>26</v>
      </c>
      <c r="D29">
        <v>31</v>
      </c>
      <c r="E29">
        <v>31</v>
      </c>
      <c r="F29">
        <v>46</v>
      </c>
      <c r="G29" s="22">
        <v>49</v>
      </c>
      <c r="H29">
        <v>58</v>
      </c>
      <c r="I29">
        <f>14+33</f>
        <v>47</v>
      </c>
      <c r="J29">
        <f>22+41</f>
        <v>63</v>
      </c>
      <c r="K29">
        <f>30+30</f>
        <v>60</v>
      </c>
      <c r="L29">
        <f>23+37</f>
        <v>60</v>
      </c>
      <c r="M29">
        <f>37+18</f>
        <v>55</v>
      </c>
      <c r="N29">
        <v>47</v>
      </c>
    </row>
    <row r="30" spans="2:18" ht="15.75" hidden="1" customHeight="1" x14ac:dyDescent="0.25">
      <c r="B30" s="23" t="s">
        <v>23</v>
      </c>
      <c r="C30">
        <v>227</v>
      </c>
      <c r="D30">
        <v>415</v>
      </c>
      <c r="E30">
        <v>320</v>
      </c>
      <c r="F30">
        <v>377</v>
      </c>
      <c r="G30">
        <v>406</v>
      </c>
      <c r="H30">
        <v>476</v>
      </c>
      <c r="I30">
        <f>323+163</f>
        <v>486</v>
      </c>
      <c r="J30">
        <f>608+262</f>
        <v>870</v>
      </c>
      <c r="K30">
        <f>263+886</f>
        <v>1149</v>
      </c>
      <c r="L30">
        <f>224+461</f>
        <v>685</v>
      </c>
      <c r="M30">
        <f>138+564</f>
        <v>702</v>
      </c>
      <c r="N30">
        <v>832</v>
      </c>
    </row>
    <row r="31" spans="2:18" ht="15.75" hidden="1" customHeight="1" x14ac:dyDescent="0.25">
      <c r="B31" s="23" t="s">
        <v>20</v>
      </c>
      <c r="C31" s="38">
        <f t="shared" ref="C31:N31" si="3">C19/C29</f>
        <v>107.14730769230769</v>
      </c>
      <c r="D31" s="38">
        <f t="shared" si="3"/>
        <v>179.51903225806453</v>
      </c>
      <c r="E31" s="38">
        <f t="shared" si="3"/>
        <v>199.89903225806452</v>
      </c>
      <c r="F31" s="38">
        <f t="shared" si="3"/>
        <v>127.57695652173915</v>
      </c>
      <c r="G31" s="38">
        <f t="shared" si="3"/>
        <v>114.28530612244897</v>
      </c>
      <c r="H31" s="38">
        <f t="shared" si="3"/>
        <v>118.68534482758621</v>
      </c>
      <c r="I31" s="38">
        <f t="shared" si="3"/>
        <v>146.44936170212765</v>
      </c>
      <c r="J31" s="38">
        <f t="shared" si="3"/>
        <v>160.18682539682541</v>
      </c>
      <c r="K31" s="38">
        <f t="shared" si="3"/>
        <v>232.73733333333334</v>
      </c>
      <c r="L31" s="38">
        <f t="shared" si="3"/>
        <v>156.33799999999999</v>
      </c>
      <c r="M31" s="38">
        <f t="shared" si="3"/>
        <v>163.74509090909089</v>
      </c>
      <c r="N31" s="38">
        <f t="shared" si="3"/>
        <v>211.02382978723401</v>
      </c>
    </row>
    <row r="32" spans="2:18" ht="15.75" hidden="1" customHeight="1" x14ac:dyDescent="0.25">
      <c r="B32" s="23" t="s">
        <v>24</v>
      </c>
      <c r="C32" s="24">
        <v>0.5</v>
      </c>
      <c r="D32" s="24">
        <v>0.66</v>
      </c>
      <c r="E32" s="24">
        <v>1</v>
      </c>
      <c r="F32" s="24">
        <v>0</v>
      </c>
      <c r="G32" s="24">
        <v>1</v>
      </c>
      <c r="H32" s="24">
        <v>1</v>
      </c>
      <c r="I32" s="24">
        <v>1</v>
      </c>
      <c r="J32" s="24">
        <v>1</v>
      </c>
      <c r="K32" s="24">
        <v>1</v>
      </c>
      <c r="L32" s="24">
        <v>0.83</v>
      </c>
      <c r="M32" s="24">
        <v>1</v>
      </c>
    </row>
    <row r="33" spans="2:20" ht="15.75" customHeight="1" x14ac:dyDescent="0.25">
      <c r="H33" s="9"/>
    </row>
    <row r="34" spans="2:20" ht="15.75" customHeight="1" x14ac:dyDescent="0.25">
      <c r="B34" s="1">
        <v>2022</v>
      </c>
      <c r="C34" s="2" t="s">
        <v>0</v>
      </c>
      <c r="D34" s="2" t="s">
        <v>1</v>
      </c>
      <c r="E34" s="3" t="s">
        <v>2</v>
      </c>
      <c r="F34" s="3" t="s">
        <v>3</v>
      </c>
      <c r="G34" s="3" t="s">
        <v>4</v>
      </c>
      <c r="H34" s="2" t="s">
        <v>5</v>
      </c>
      <c r="I34" s="2" t="s">
        <v>6</v>
      </c>
      <c r="J34" s="3" t="s">
        <v>7</v>
      </c>
      <c r="K34" s="3" t="s">
        <v>8</v>
      </c>
      <c r="L34" s="3" t="s">
        <v>9</v>
      </c>
      <c r="M34" s="3" t="s">
        <v>10</v>
      </c>
      <c r="N34" s="2" t="s">
        <v>11</v>
      </c>
      <c r="O34" s="42"/>
      <c r="P34" s="42"/>
      <c r="Q34" s="43"/>
      <c r="R34" s="4"/>
      <c r="T34" s="44"/>
    </row>
    <row r="35" spans="2:20" ht="19.5" customHeight="1" x14ac:dyDescent="0.3">
      <c r="B35" s="37" t="s">
        <v>25</v>
      </c>
      <c r="C35" s="7">
        <v>13000</v>
      </c>
      <c r="D35" s="7">
        <v>13000</v>
      </c>
      <c r="E35" s="7">
        <v>15000</v>
      </c>
      <c r="F35" s="7">
        <v>15000</v>
      </c>
      <c r="G35" s="7">
        <v>15000</v>
      </c>
      <c r="H35" s="7">
        <v>13000</v>
      </c>
      <c r="I35" s="7">
        <v>13000</v>
      </c>
      <c r="J35" s="7">
        <v>15000</v>
      </c>
      <c r="K35" s="7">
        <v>15000</v>
      </c>
      <c r="L35" s="7">
        <v>15000</v>
      </c>
      <c r="M35" s="7">
        <v>15000</v>
      </c>
      <c r="N35" s="7">
        <v>13000</v>
      </c>
      <c r="O35" s="13">
        <f>SUM(C35:N35)</f>
        <v>170000</v>
      </c>
      <c r="P35" s="13"/>
      <c r="Q35" s="13"/>
      <c r="R35" s="12"/>
      <c r="T35" s="36"/>
    </row>
    <row r="36" spans="2:20" ht="15.75" customHeight="1" x14ac:dyDescent="0.25">
      <c r="B36" s="45" t="s">
        <v>13</v>
      </c>
      <c r="C36" s="46">
        <v>6293.87</v>
      </c>
      <c r="D36" s="46">
        <v>5397.23</v>
      </c>
      <c r="E36" s="46">
        <v>18224.060000000001</v>
      </c>
      <c r="F36" s="46">
        <v>25305.65</v>
      </c>
      <c r="G36" s="46">
        <v>9558.5</v>
      </c>
      <c r="H36" s="46">
        <v>10126.11</v>
      </c>
      <c r="I36" s="46">
        <v>8836.06</v>
      </c>
      <c r="J36" s="46">
        <v>13533.77</v>
      </c>
      <c r="K36" s="4">
        <v>12468.35</v>
      </c>
      <c r="L36" s="4">
        <v>9836.4599999999991</v>
      </c>
      <c r="M36" s="4">
        <v>5043.3100000000004</v>
      </c>
      <c r="N36" s="4">
        <v>4695.2299999999996</v>
      </c>
      <c r="O36" s="33"/>
      <c r="P36" s="33"/>
      <c r="Q36" s="33"/>
    </row>
    <row r="37" spans="2:20" ht="15.75" customHeight="1" x14ac:dyDescent="0.25">
      <c r="B37" s="47" t="s">
        <v>14</v>
      </c>
      <c r="C37" s="48">
        <v>2275</v>
      </c>
      <c r="D37" s="48">
        <v>1857</v>
      </c>
      <c r="E37" s="48">
        <v>2412</v>
      </c>
      <c r="F37" s="48">
        <v>3192</v>
      </c>
      <c r="G37" s="46">
        <v>3230</v>
      </c>
      <c r="H37" s="46">
        <v>3705.46</v>
      </c>
      <c r="I37" s="46">
        <v>2114</v>
      </c>
      <c r="J37" s="46">
        <v>2018</v>
      </c>
      <c r="K37" s="4">
        <v>2630</v>
      </c>
      <c r="L37" s="12">
        <v>2080</v>
      </c>
      <c r="M37" s="12">
        <v>3380</v>
      </c>
      <c r="N37" s="12">
        <v>1960</v>
      </c>
      <c r="O37" s="41"/>
      <c r="P37" s="41"/>
      <c r="Q37" s="41"/>
      <c r="R37" s="12"/>
    </row>
    <row r="38" spans="2:20" ht="16.5" customHeight="1" x14ac:dyDescent="0.25">
      <c r="B38" s="11" t="s">
        <v>32</v>
      </c>
      <c r="C38" s="74">
        <f t="shared" ref="C38:N38" si="4">C36+C37</f>
        <v>8568.869999999999</v>
      </c>
      <c r="D38" s="74">
        <f t="shared" si="4"/>
        <v>7254.23</v>
      </c>
      <c r="E38" s="71">
        <f t="shared" si="4"/>
        <v>20636.060000000001</v>
      </c>
      <c r="F38" s="71">
        <f t="shared" si="4"/>
        <v>28497.65</v>
      </c>
      <c r="G38" s="74">
        <f t="shared" si="4"/>
        <v>12788.5</v>
      </c>
      <c r="H38" s="71">
        <f t="shared" si="4"/>
        <v>13831.57</v>
      </c>
      <c r="I38" s="74">
        <f t="shared" si="4"/>
        <v>10950.06</v>
      </c>
      <c r="J38" s="71">
        <f t="shared" si="4"/>
        <v>15551.77</v>
      </c>
      <c r="K38" s="70">
        <f t="shared" si="4"/>
        <v>15098.35</v>
      </c>
      <c r="L38" s="90">
        <f t="shared" si="4"/>
        <v>11916.46</v>
      </c>
      <c r="M38" s="90">
        <f t="shared" si="4"/>
        <v>8423.3100000000013</v>
      </c>
      <c r="N38" s="99">
        <f t="shared" si="4"/>
        <v>6655.23</v>
      </c>
      <c r="O38" s="100">
        <f>SUM(C38:N38)</f>
        <v>160172.06</v>
      </c>
      <c r="P38" s="76">
        <f>O38+O19+O10</f>
        <v>280503.82</v>
      </c>
      <c r="Q38" s="31"/>
    </row>
    <row r="39" spans="2:20" ht="16.5" customHeight="1" x14ac:dyDescent="0.3">
      <c r="B39" s="5" t="s">
        <v>109</v>
      </c>
      <c r="C39" s="77">
        <f t="shared" ref="C39:N39" si="5">(C38-C35)*0.01</f>
        <v>-44.31130000000001</v>
      </c>
      <c r="D39" s="77">
        <f t="shared" si="5"/>
        <v>-57.457700000000003</v>
      </c>
      <c r="E39" s="4">
        <f t="shared" si="5"/>
        <v>56.360600000000012</v>
      </c>
      <c r="F39" s="4">
        <f t="shared" si="5"/>
        <v>134.97650000000002</v>
      </c>
      <c r="G39" s="4">
        <f t="shared" si="5"/>
        <v>-22.115000000000002</v>
      </c>
      <c r="H39" s="4">
        <f t="shared" si="5"/>
        <v>8.3156999999999979</v>
      </c>
      <c r="I39" s="4">
        <f t="shared" si="5"/>
        <v>-20.499400000000005</v>
      </c>
      <c r="J39" s="4">
        <f t="shared" si="5"/>
        <v>5.517700000000004</v>
      </c>
      <c r="K39" s="4">
        <f t="shared" si="5"/>
        <v>0.9835000000000037</v>
      </c>
      <c r="L39" s="4">
        <f t="shared" si="5"/>
        <v>-30.835400000000011</v>
      </c>
      <c r="M39" s="4">
        <f t="shared" si="5"/>
        <v>-65.766899999999993</v>
      </c>
      <c r="N39" s="4">
        <f t="shared" si="5"/>
        <v>-63.447700000000005</v>
      </c>
      <c r="O39" s="31"/>
      <c r="P39" s="31"/>
      <c r="Q39" s="31"/>
    </row>
    <row r="40" spans="2:20" ht="15.75" hidden="1" customHeight="1" x14ac:dyDescent="0.25">
      <c r="B40" s="14" t="s">
        <v>26</v>
      </c>
      <c r="O40" s="22"/>
      <c r="P40" s="22"/>
      <c r="Q40" s="22"/>
    </row>
    <row r="41" spans="2:20" ht="15.75" hidden="1" customHeight="1" x14ac:dyDescent="0.25">
      <c r="B41" s="14" t="s">
        <v>17</v>
      </c>
      <c r="C41" s="17"/>
      <c r="D41" s="17"/>
      <c r="E41" s="17"/>
      <c r="F41" s="17"/>
      <c r="G41" s="17"/>
      <c r="H41" s="17"/>
      <c r="I41" s="17"/>
      <c r="J41" s="17"/>
      <c r="O41" s="43"/>
      <c r="P41" s="43"/>
      <c r="Q41" s="43"/>
    </row>
    <row r="42" spans="2:20" ht="18.75" hidden="1" customHeight="1" x14ac:dyDescent="0.3">
      <c r="B42" s="5" t="s">
        <v>34</v>
      </c>
      <c r="C42" s="18"/>
      <c r="D42" s="18"/>
      <c r="E42" s="18"/>
      <c r="F42" s="18" t="s">
        <v>110</v>
      </c>
      <c r="G42" s="18"/>
      <c r="H42" s="18"/>
      <c r="I42" s="18"/>
      <c r="J42" s="18"/>
      <c r="K42" s="18"/>
      <c r="L42" s="18"/>
      <c r="M42" s="18"/>
      <c r="N42" s="18"/>
      <c r="P42" s="9"/>
    </row>
    <row r="43" spans="2:20" ht="15.75" hidden="1" customHeight="1" x14ac:dyDescent="0.25">
      <c r="B43" s="14" t="s">
        <v>34</v>
      </c>
      <c r="C43" s="18">
        <v>10000</v>
      </c>
      <c r="D43" s="18"/>
      <c r="E43" s="18"/>
      <c r="F43" s="18"/>
      <c r="G43" s="18"/>
      <c r="H43" s="18"/>
      <c r="I43" s="18"/>
      <c r="J43" s="18"/>
      <c r="K43" s="18"/>
      <c r="L43" s="18"/>
      <c r="M43" s="18">
        <v>6816.27</v>
      </c>
      <c r="N43" s="18"/>
      <c r="P43" s="9"/>
    </row>
    <row r="44" spans="2:20" ht="15.75" hidden="1" customHeight="1" x14ac:dyDescent="0.25">
      <c r="B44" s="14" t="s">
        <v>36</v>
      </c>
      <c r="C44" s="18">
        <v>2000</v>
      </c>
      <c r="D44" s="18"/>
      <c r="E44" s="18"/>
      <c r="F44" s="18"/>
      <c r="G44" s="18"/>
      <c r="H44" s="18"/>
      <c r="I44" s="18"/>
      <c r="J44" s="18"/>
      <c r="K44" s="18"/>
      <c r="L44" s="18"/>
      <c r="M44" s="18">
        <v>3607.43</v>
      </c>
      <c r="N44" s="18"/>
      <c r="P44" s="9"/>
    </row>
    <row r="45" spans="2:20" s="83" customFormat="1" ht="15.75" hidden="1" customHeight="1" x14ac:dyDescent="0.25">
      <c r="B45" s="82" t="s">
        <v>37</v>
      </c>
      <c r="C45" s="84">
        <v>8000</v>
      </c>
      <c r="D45" s="84"/>
      <c r="E45" s="84"/>
      <c r="F45" s="84"/>
      <c r="G45" s="84"/>
      <c r="H45" s="84"/>
      <c r="I45" s="84"/>
      <c r="J45" s="84"/>
      <c r="K45" s="84"/>
      <c r="L45" s="84"/>
      <c r="M45" s="84">
        <v>3208.84</v>
      </c>
      <c r="N45" s="84"/>
      <c r="P45" s="77"/>
    </row>
    <row r="46" spans="2:20" ht="15.75" hidden="1" customHeight="1" x14ac:dyDescent="0.25">
      <c r="B46" s="14" t="s">
        <v>38</v>
      </c>
      <c r="C46" s="85">
        <f t="shared" ref="C46:N46" si="6">C44/C43</f>
        <v>0.2</v>
      </c>
      <c r="D46" s="85" t="e">
        <f t="shared" si="6"/>
        <v>#DIV/0!</v>
      </c>
      <c r="E46" s="85" t="e">
        <f t="shared" si="6"/>
        <v>#DIV/0!</v>
      </c>
      <c r="F46" s="85" t="e">
        <f t="shared" si="6"/>
        <v>#DIV/0!</v>
      </c>
      <c r="G46" s="85" t="e">
        <f t="shared" si="6"/>
        <v>#DIV/0!</v>
      </c>
      <c r="H46" s="85" t="e">
        <f t="shared" si="6"/>
        <v>#DIV/0!</v>
      </c>
      <c r="I46" s="85" t="e">
        <f t="shared" si="6"/>
        <v>#DIV/0!</v>
      </c>
      <c r="J46" s="85" t="e">
        <f t="shared" si="6"/>
        <v>#DIV/0!</v>
      </c>
      <c r="K46" s="85" t="e">
        <f t="shared" si="6"/>
        <v>#DIV/0!</v>
      </c>
      <c r="L46" s="85" t="e">
        <f t="shared" si="6"/>
        <v>#DIV/0!</v>
      </c>
      <c r="M46" s="85">
        <f t="shared" si="6"/>
        <v>0.52923813170546352</v>
      </c>
      <c r="N46" s="85" t="e">
        <f t="shared" si="6"/>
        <v>#DIV/0!</v>
      </c>
      <c r="P46" s="9"/>
    </row>
    <row r="47" spans="2:20" ht="15.75" hidden="1" customHeight="1" x14ac:dyDescent="0.25">
      <c r="B47" s="14"/>
      <c r="C47" s="17"/>
      <c r="D47" s="17"/>
      <c r="E47" s="17"/>
      <c r="F47" s="17"/>
      <c r="G47" s="17"/>
      <c r="H47" s="17"/>
      <c r="I47" s="17"/>
      <c r="J47" s="17"/>
      <c r="O47" s="43"/>
      <c r="P47" s="43"/>
      <c r="Q47" s="43"/>
    </row>
    <row r="48" spans="2:20" ht="15.75" hidden="1" customHeight="1" x14ac:dyDescent="0.25">
      <c r="B48" s="3" t="s">
        <v>21</v>
      </c>
      <c r="C48" s="19" t="s">
        <v>0</v>
      </c>
      <c r="D48" s="19" t="s">
        <v>1</v>
      </c>
      <c r="E48" s="19" t="s">
        <v>2</v>
      </c>
      <c r="F48" s="19" t="s">
        <v>3</v>
      </c>
      <c r="G48" s="19" t="s">
        <v>4</v>
      </c>
      <c r="H48" s="19" t="s">
        <v>5</v>
      </c>
      <c r="I48" s="19" t="s">
        <v>6</v>
      </c>
      <c r="J48" s="19" t="s">
        <v>7</v>
      </c>
      <c r="K48" s="19" t="s">
        <v>8</v>
      </c>
      <c r="L48" s="19" t="s">
        <v>9</v>
      </c>
      <c r="M48" s="19" t="s">
        <v>10</v>
      </c>
      <c r="N48" s="19" t="s">
        <v>11</v>
      </c>
    </row>
    <row r="49" spans="2:20" ht="15.75" hidden="1" customHeight="1" x14ac:dyDescent="0.25">
      <c r="B49" s="23" t="s">
        <v>39</v>
      </c>
      <c r="C49" s="17"/>
      <c r="D49" s="17"/>
      <c r="E49" s="17"/>
      <c r="F49" s="17"/>
      <c r="G49" s="17"/>
      <c r="H49" s="17"/>
      <c r="I49" s="17">
        <v>21</v>
      </c>
      <c r="J49" s="17">
        <v>29</v>
      </c>
      <c r="K49" s="17">
        <v>20</v>
      </c>
      <c r="L49" s="17">
        <v>20</v>
      </c>
      <c r="M49" s="17">
        <v>19</v>
      </c>
      <c r="N49" s="17">
        <v>16</v>
      </c>
    </row>
    <row r="50" spans="2:20" ht="15.75" hidden="1" customHeight="1" x14ac:dyDescent="0.25">
      <c r="B50" s="23" t="s">
        <v>22</v>
      </c>
      <c r="C50">
        <f>25+20</f>
        <v>45</v>
      </c>
      <c r="D50">
        <v>50</v>
      </c>
      <c r="E50">
        <f>30+42</f>
        <v>72</v>
      </c>
      <c r="F50">
        <f>38+26</f>
        <v>64</v>
      </c>
      <c r="G50" s="22">
        <f>36+40</f>
        <v>76</v>
      </c>
      <c r="H50">
        <f>26+39</f>
        <v>65</v>
      </c>
      <c r="I50">
        <f>20+37</f>
        <v>57</v>
      </c>
      <c r="J50">
        <f>28+48</f>
        <v>76</v>
      </c>
      <c r="K50">
        <f>30+25</f>
        <v>55</v>
      </c>
      <c r="L50">
        <f>25+36</f>
        <v>61</v>
      </c>
      <c r="M50">
        <v>53</v>
      </c>
      <c r="N50">
        <v>50</v>
      </c>
    </row>
    <row r="51" spans="2:20" ht="15.75" hidden="1" customHeight="1" x14ac:dyDescent="0.25">
      <c r="B51" s="23" t="s">
        <v>23</v>
      </c>
      <c r="C51">
        <f>127+581</f>
        <v>708</v>
      </c>
      <c r="D51">
        <v>519</v>
      </c>
      <c r="E51">
        <f>1346+177</f>
        <v>1523</v>
      </c>
      <c r="F51">
        <f>1429+218</f>
        <v>1647</v>
      </c>
      <c r="G51">
        <f>922+243</f>
        <v>1165</v>
      </c>
      <c r="H51">
        <f>223+786</f>
        <v>1009</v>
      </c>
      <c r="I51">
        <f>128+819</f>
        <v>947</v>
      </c>
      <c r="K51">
        <f>183+830</f>
        <v>1013</v>
      </c>
      <c r="L51">
        <f>845+101</f>
        <v>946</v>
      </c>
      <c r="M51">
        <v>735</v>
      </c>
      <c r="N51">
        <v>690</v>
      </c>
    </row>
    <row r="52" spans="2:20" ht="15.75" hidden="1" customHeight="1" x14ac:dyDescent="0.25">
      <c r="B52" s="23" t="s">
        <v>20</v>
      </c>
      <c r="C52" s="38">
        <f t="shared" ref="C52:N52" si="7">C38/C50</f>
        <v>190.4193333333333</v>
      </c>
      <c r="D52" s="38">
        <f t="shared" si="7"/>
        <v>145.08459999999999</v>
      </c>
      <c r="E52" s="38">
        <f t="shared" si="7"/>
        <v>286.61194444444448</v>
      </c>
      <c r="F52" s="38">
        <f t="shared" si="7"/>
        <v>445.27578125000002</v>
      </c>
      <c r="G52" s="38">
        <f t="shared" si="7"/>
        <v>168.26973684210526</v>
      </c>
      <c r="H52" s="38">
        <f t="shared" si="7"/>
        <v>212.79338461538461</v>
      </c>
      <c r="I52" s="38">
        <f t="shared" si="7"/>
        <v>192.10631578947368</v>
      </c>
      <c r="J52" s="38">
        <f t="shared" si="7"/>
        <v>204.62855263157894</v>
      </c>
      <c r="K52" s="38">
        <f t="shared" si="7"/>
        <v>274.51545454545453</v>
      </c>
      <c r="L52" s="38">
        <f t="shared" si="7"/>
        <v>195.35180327868852</v>
      </c>
      <c r="M52" s="38">
        <f t="shared" si="7"/>
        <v>158.9303773584906</v>
      </c>
      <c r="N52" s="38">
        <f t="shared" si="7"/>
        <v>133.1046</v>
      </c>
    </row>
    <row r="53" spans="2:20" ht="15.75" hidden="1" customHeight="1" x14ac:dyDescent="0.25">
      <c r="B53" s="23" t="s">
        <v>24</v>
      </c>
      <c r="C53" s="86">
        <v>1</v>
      </c>
      <c r="D53" s="86">
        <v>0.66</v>
      </c>
      <c r="E53" s="86">
        <v>1</v>
      </c>
      <c r="F53" s="86">
        <v>0</v>
      </c>
      <c r="G53" s="86">
        <v>1</v>
      </c>
      <c r="H53" s="86">
        <v>1</v>
      </c>
      <c r="I53" s="86">
        <v>1</v>
      </c>
      <c r="J53" s="86">
        <v>0.83</v>
      </c>
      <c r="K53" s="88">
        <v>0.5</v>
      </c>
      <c r="L53" s="87">
        <v>0.84</v>
      </c>
      <c r="M53" s="87">
        <v>1</v>
      </c>
      <c r="N53" s="87">
        <v>1</v>
      </c>
    </row>
    <row r="54" spans="2:20" ht="15.75" customHeight="1" x14ac:dyDescent="0.25">
      <c r="H54" s="9"/>
    </row>
    <row r="55" spans="2:20" ht="15.75" customHeight="1" x14ac:dyDescent="0.25">
      <c r="B55" s="1">
        <v>2023</v>
      </c>
      <c r="C55" s="2" t="s">
        <v>0</v>
      </c>
      <c r="D55" s="2" t="s">
        <v>1</v>
      </c>
      <c r="E55" s="3" t="s">
        <v>2</v>
      </c>
      <c r="F55" s="3" t="s">
        <v>3</v>
      </c>
      <c r="G55" s="3" t="s">
        <v>4</v>
      </c>
      <c r="H55" s="2" t="s">
        <v>5</v>
      </c>
      <c r="I55" s="2" t="s">
        <v>6</v>
      </c>
      <c r="J55" s="3" t="s">
        <v>7</v>
      </c>
      <c r="K55" s="3" t="s">
        <v>8</v>
      </c>
      <c r="L55" s="3" t="s">
        <v>9</v>
      </c>
      <c r="M55" s="3" t="s">
        <v>10</v>
      </c>
      <c r="N55" s="2" t="s">
        <v>11</v>
      </c>
      <c r="O55" s="42"/>
      <c r="P55" s="42"/>
      <c r="Q55" s="43"/>
      <c r="R55" s="4"/>
      <c r="T55" s="44"/>
    </row>
    <row r="56" spans="2:20" ht="19.5" customHeight="1" x14ac:dyDescent="0.3">
      <c r="B56" s="37" t="s">
        <v>27</v>
      </c>
      <c r="C56" s="7">
        <v>13000</v>
      </c>
      <c r="D56" s="7">
        <v>13000</v>
      </c>
      <c r="E56" s="7">
        <v>15000</v>
      </c>
      <c r="F56" s="7">
        <v>15000</v>
      </c>
      <c r="G56" s="7">
        <v>15000</v>
      </c>
      <c r="H56" s="7">
        <v>13000</v>
      </c>
      <c r="I56" s="7">
        <v>13000</v>
      </c>
      <c r="J56" s="7">
        <v>15000</v>
      </c>
      <c r="K56" s="7">
        <v>15000</v>
      </c>
      <c r="L56" s="7">
        <v>15000</v>
      </c>
      <c r="M56" s="7">
        <v>15000</v>
      </c>
      <c r="N56" s="7">
        <v>13000</v>
      </c>
      <c r="O56" s="75">
        <f>SUM(C56:N56)</f>
        <v>170000</v>
      </c>
      <c r="P56" s="13"/>
      <c r="Q56" s="13"/>
      <c r="R56" s="12"/>
      <c r="T56" s="36"/>
    </row>
    <row r="57" spans="2:20" ht="15.75" customHeight="1" x14ac:dyDescent="0.25">
      <c r="B57" s="45" t="s">
        <v>13</v>
      </c>
      <c r="C57" s="46">
        <v>5896.76</v>
      </c>
      <c r="D57" s="46">
        <v>4369.1099999999997</v>
      </c>
      <c r="E57" s="46">
        <v>9090.15</v>
      </c>
      <c r="F57" s="46">
        <v>8387.39</v>
      </c>
      <c r="G57" s="46">
        <v>10561.29</v>
      </c>
      <c r="H57" s="46">
        <v>10930.46</v>
      </c>
      <c r="I57" s="46">
        <v>13999.29</v>
      </c>
      <c r="J57" s="46">
        <v>11088.9</v>
      </c>
      <c r="K57" s="4">
        <v>7471.45</v>
      </c>
      <c r="L57" s="4">
        <v>12092.1</v>
      </c>
      <c r="M57" s="33">
        <v>14645.44</v>
      </c>
      <c r="N57" s="4">
        <v>5042.03</v>
      </c>
      <c r="O57" s="275">
        <f t="shared" ref="O57:O58" si="8">SUM(C57:N57)</f>
        <v>113574.37</v>
      </c>
      <c r="P57" s="33"/>
      <c r="Q57" s="33"/>
    </row>
    <row r="58" spans="2:20" ht="15.75" customHeight="1" x14ac:dyDescent="0.25">
      <c r="B58" s="47" t="s">
        <v>14</v>
      </c>
      <c r="C58" s="48">
        <v>3832</v>
      </c>
      <c r="D58" s="48">
        <v>4053</v>
      </c>
      <c r="E58" s="48">
        <v>3790.81</v>
      </c>
      <c r="F58" s="48">
        <v>4129.87</v>
      </c>
      <c r="G58" s="46">
        <v>6752.6</v>
      </c>
      <c r="H58" s="46">
        <v>2807</v>
      </c>
      <c r="I58" s="46">
        <v>4399</v>
      </c>
      <c r="J58" s="46">
        <v>4064</v>
      </c>
      <c r="K58" s="4">
        <v>4506</v>
      </c>
      <c r="L58" s="12">
        <v>3631</v>
      </c>
      <c r="M58" s="41">
        <v>4325</v>
      </c>
      <c r="N58" s="12">
        <v>3494.28</v>
      </c>
      <c r="O58" s="275">
        <f t="shared" si="8"/>
        <v>49784.56</v>
      </c>
      <c r="P58" s="41"/>
      <c r="Q58" s="41"/>
      <c r="R58" s="12"/>
    </row>
    <row r="59" spans="2:20" ht="16.5" customHeight="1" x14ac:dyDescent="0.3">
      <c r="B59" s="11" t="s">
        <v>41</v>
      </c>
      <c r="C59" s="109">
        <f t="shared" ref="C59:H59" si="9">C57+C58</f>
        <v>9728.76</v>
      </c>
      <c r="D59" s="90">
        <f t="shared" si="9"/>
        <v>8422.11</v>
      </c>
      <c r="E59" s="74">
        <f t="shared" si="9"/>
        <v>12880.96</v>
      </c>
      <c r="F59" s="74">
        <f t="shared" si="9"/>
        <v>12517.259999999998</v>
      </c>
      <c r="G59" s="70">
        <f t="shared" si="9"/>
        <v>17313.89</v>
      </c>
      <c r="H59" s="70">
        <f t="shared" si="9"/>
        <v>13737.46</v>
      </c>
      <c r="I59" s="71">
        <v>18398.29</v>
      </c>
      <c r="J59" s="71">
        <v>15152.9</v>
      </c>
      <c r="K59" s="90">
        <f>K57+K58</f>
        <v>11977.45</v>
      </c>
      <c r="L59" s="70">
        <f>L57+L58</f>
        <v>15723.1</v>
      </c>
      <c r="M59" s="71">
        <v>18970.439999999999</v>
      </c>
      <c r="N59" s="90">
        <f>N57+N58</f>
        <v>8536.31</v>
      </c>
      <c r="O59" s="75">
        <f>SUM(C59:N59)</f>
        <v>163358.93</v>
      </c>
      <c r="P59" s="76">
        <f>O59+O40+O31</f>
        <v>163358.93</v>
      </c>
      <c r="Q59" s="31"/>
    </row>
    <row r="60" spans="2:20" ht="15.75" customHeight="1" x14ac:dyDescent="0.25">
      <c r="B60" s="14" t="s">
        <v>111</v>
      </c>
      <c r="C60" s="116">
        <f t="shared" ref="C60:N60" si="10">(C59/C56)-1</f>
        <v>-0.2516338461538461</v>
      </c>
      <c r="D60" s="116">
        <f t="shared" si="10"/>
        <v>-0.35214538461538458</v>
      </c>
      <c r="E60" s="116">
        <f t="shared" si="10"/>
        <v>-0.14126933333333336</v>
      </c>
      <c r="F60" s="116">
        <f t="shared" si="10"/>
        <v>-0.16551600000000011</v>
      </c>
      <c r="G60" s="116">
        <f t="shared" si="10"/>
        <v>0.1542593333333333</v>
      </c>
      <c r="H60" s="116">
        <f t="shared" si="10"/>
        <v>5.6727692307692257E-2</v>
      </c>
      <c r="I60" s="116">
        <f t="shared" si="10"/>
        <v>0.41525307692307689</v>
      </c>
      <c r="J60" s="116">
        <f t="shared" si="10"/>
        <v>1.0193333333333277E-2</v>
      </c>
      <c r="K60" s="116">
        <f t="shared" si="10"/>
        <v>-0.20150333333333326</v>
      </c>
      <c r="L60" s="116">
        <f t="shared" si="10"/>
        <v>4.8206666666666731E-2</v>
      </c>
      <c r="M60" s="116">
        <f t="shared" si="10"/>
        <v>0.26469599999999982</v>
      </c>
      <c r="N60" s="116">
        <f t="shared" si="10"/>
        <v>-0.3433607692307693</v>
      </c>
      <c r="O60" s="22"/>
      <c r="P60" s="22"/>
      <c r="Q60" s="22"/>
    </row>
    <row r="61" spans="2:20" ht="15.75" customHeight="1" x14ac:dyDescent="0.25">
      <c r="B61" s="14" t="s">
        <v>17</v>
      </c>
      <c r="C61" s="106">
        <f t="shared" ref="C61:N61" si="11">(C59/C38)-1</f>
        <v>0.13536090523021138</v>
      </c>
      <c r="D61" s="106">
        <f t="shared" si="11"/>
        <v>0.16099296548358688</v>
      </c>
      <c r="E61" s="106">
        <f t="shared" si="11"/>
        <v>-0.37580332679784811</v>
      </c>
      <c r="F61" s="106">
        <f t="shared" si="11"/>
        <v>-0.56076167684002021</v>
      </c>
      <c r="G61" s="106">
        <f t="shared" si="11"/>
        <v>0.35386401845407978</v>
      </c>
      <c r="H61" s="106">
        <f t="shared" si="11"/>
        <v>-6.8039998351597797E-3</v>
      </c>
      <c r="I61" s="106">
        <f t="shared" si="11"/>
        <v>0.68019992584515543</v>
      </c>
      <c r="J61" s="106">
        <f t="shared" si="11"/>
        <v>-2.5647884453023684E-2</v>
      </c>
      <c r="K61" s="106">
        <f t="shared" si="11"/>
        <v>-0.20670470614338654</v>
      </c>
      <c r="L61" s="106">
        <f t="shared" si="11"/>
        <v>0.31944386168375516</v>
      </c>
      <c r="M61" s="106">
        <f t="shared" si="11"/>
        <v>1.2521360367836394</v>
      </c>
      <c r="N61" s="106">
        <f t="shared" si="11"/>
        <v>0.28264688072388178</v>
      </c>
      <c r="O61" s="43"/>
      <c r="P61" s="43"/>
      <c r="Q61" s="43"/>
    </row>
    <row r="62" spans="2:20" ht="15.75" hidden="1" customHeight="1" x14ac:dyDescent="0.25">
      <c r="B62" s="14"/>
      <c r="C62" s="17"/>
      <c r="D62" s="17"/>
      <c r="E62" s="17"/>
      <c r="F62" s="17"/>
      <c r="G62" s="17"/>
      <c r="H62" s="17"/>
      <c r="I62" s="17"/>
      <c r="J62" s="17"/>
      <c r="O62" s="43"/>
      <c r="P62" s="43"/>
      <c r="Q62" s="43"/>
    </row>
    <row r="63" spans="2:20" ht="18.75" hidden="1" customHeight="1" x14ac:dyDescent="0.3">
      <c r="B63" s="5" t="s">
        <v>34</v>
      </c>
      <c r="C63" s="18"/>
      <c r="D63" s="18"/>
      <c r="E63" s="18"/>
      <c r="F63" s="18" t="s">
        <v>110</v>
      </c>
      <c r="G63" s="18"/>
      <c r="H63" s="18"/>
      <c r="I63" s="18"/>
      <c r="J63" s="18"/>
      <c r="K63" s="18"/>
      <c r="L63" s="18"/>
      <c r="M63" s="18"/>
      <c r="N63" s="18"/>
      <c r="P63" s="9"/>
    </row>
    <row r="64" spans="2:20" ht="15.75" hidden="1" customHeight="1" x14ac:dyDescent="0.25">
      <c r="B64" s="14" t="s">
        <v>34</v>
      </c>
      <c r="C64" s="18">
        <f t="shared" ref="C64:N64" si="12">C65+C66</f>
        <v>18286.29</v>
      </c>
      <c r="D64" s="18">
        <f t="shared" si="12"/>
        <v>18128.38</v>
      </c>
      <c r="E64" s="18">
        <f t="shared" si="12"/>
        <v>13910.560000000001</v>
      </c>
      <c r="F64" s="18">
        <f t="shared" si="12"/>
        <v>16576.95</v>
      </c>
      <c r="G64" s="18">
        <f t="shared" si="12"/>
        <v>18592.669999999998</v>
      </c>
      <c r="H64" s="18">
        <f t="shared" si="12"/>
        <v>7506.73</v>
      </c>
      <c r="I64" s="18">
        <f t="shared" si="12"/>
        <v>10775.39</v>
      </c>
      <c r="J64" s="18">
        <f t="shared" si="12"/>
        <v>12523.2</v>
      </c>
      <c r="K64" s="18">
        <f t="shared" si="12"/>
        <v>14934.739999999998</v>
      </c>
      <c r="L64" s="18">
        <f t="shared" si="12"/>
        <v>8384.83</v>
      </c>
      <c r="M64" s="18">
        <f t="shared" si="12"/>
        <v>11857.21</v>
      </c>
      <c r="N64" s="18">
        <f t="shared" si="12"/>
        <v>10003.450000000001</v>
      </c>
      <c r="P64" s="9"/>
    </row>
    <row r="65" spans="2:17" ht="15.75" hidden="1" customHeight="1" x14ac:dyDescent="0.25">
      <c r="B65" s="14" t="s">
        <v>36</v>
      </c>
      <c r="C65" s="18">
        <v>4958.99</v>
      </c>
      <c r="D65" s="18">
        <v>5294.19</v>
      </c>
      <c r="E65" s="18">
        <v>4763.8100000000004</v>
      </c>
      <c r="F65" s="18">
        <v>4210.1899999999996</v>
      </c>
      <c r="G65" s="18">
        <v>9914.2199999999993</v>
      </c>
      <c r="H65" s="18">
        <v>2264.37</v>
      </c>
      <c r="I65" s="18">
        <v>6230.7</v>
      </c>
      <c r="J65" s="18">
        <v>4830.3</v>
      </c>
      <c r="K65" s="18">
        <v>5736.44</v>
      </c>
      <c r="L65" s="18">
        <v>4510.13</v>
      </c>
      <c r="M65" s="18">
        <v>5439.94</v>
      </c>
      <c r="N65" s="18">
        <v>4887.54</v>
      </c>
      <c r="P65" s="9"/>
    </row>
    <row r="66" spans="2:17" s="83" customFormat="1" ht="15.75" hidden="1" customHeight="1" x14ac:dyDescent="0.25">
      <c r="B66" s="82" t="s">
        <v>37</v>
      </c>
      <c r="C66" s="84">
        <v>13327.3</v>
      </c>
      <c r="D66" s="84">
        <v>12834.19</v>
      </c>
      <c r="E66" s="84">
        <v>9146.75</v>
      </c>
      <c r="F66" s="84">
        <v>12366.76</v>
      </c>
      <c r="G66" s="84">
        <v>8678.4500000000007</v>
      </c>
      <c r="H66" s="84">
        <v>5242.3599999999997</v>
      </c>
      <c r="I66" s="84">
        <v>4544.6899999999996</v>
      </c>
      <c r="J66" s="84">
        <v>7692.9</v>
      </c>
      <c r="K66" s="84">
        <v>9198.2999999999993</v>
      </c>
      <c r="L66" s="84">
        <v>3874.7</v>
      </c>
      <c r="M66" s="84">
        <v>6417.27</v>
      </c>
      <c r="N66" s="84">
        <v>5115.91</v>
      </c>
      <c r="P66" s="77"/>
    </row>
    <row r="67" spans="2:17" ht="15.75" hidden="1" customHeight="1" x14ac:dyDescent="0.25">
      <c r="B67" s="14" t="s">
        <v>38</v>
      </c>
      <c r="C67" s="115">
        <f t="shared" ref="C67:N67" si="13">C65/C64</f>
        <v>0.27118622749611865</v>
      </c>
      <c r="D67" s="115">
        <f t="shared" si="13"/>
        <v>0.29203878118177129</v>
      </c>
      <c r="E67" s="115">
        <f t="shared" si="13"/>
        <v>0.34245997285515462</v>
      </c>
      <c r="F67" s="115">
        <f t="shared" si="13"/>
        <v>0.2539785666241377</v>
      </c>
      <c r="G67" s="104">
        <f t="shared" si="13"/>
        <v>0.53323272020640389</v>
      </c>
      <c r="H67" s="115">
        <f t="shared" si="13"/>
        <v>0.30164532359629292</v>
      </c>
      <c r="I67" s="104">
        <f t="shared" si="13"/>
        <v>0.57823429128783277</v>
      </c>
      <c r="J67" s="104">
        <f t="shared" si="13"/>
        <v>0.38570812571866614</v>
      </c>
      <c r="K67" s="104">
        <f t="shared" si="13"/>
        <v>0.38410042625449126</v>
      </c>
      <c r="L67" s="85">
        <f t="shared" si="13"/>
        <v>0.53789164479184437</v>
      </c>
      <c r="M67" s="85">
        <f t="shared" si="13"/>
        <v>0.45878752252848687</v>
      </c>
      <c r="N67" s="85">
        <f t="shared" si="13"/>
        <v>0.48858543802388171</v>
      </c>
      <c r="P67" s="9"/>
    </row>
    <row r="68" spans="2:17" ht="15.75" hidden="1" customHeight="1" x14ac:dyDescent="0.25">
      <c r="B68" s="14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P68" s="9"/>
    </row>
    <row r="69" spans="2:17" s="122" customFormat="1" ht="15.75" hidden="1" customHeight="1" x14ac:dyDescent="0.25">
      <c r="B69" s="126" t="s">
        <v>42</v>
      </c>
      <c r="C69" s="146">
        <v>45267</v>
      </c>
      <c r="D69" s="146">
        <v>45267</v>
      </c>
      <c r="E69" s="146">
        <v>45267</v>
      </c>
      <c r="F69" s="146">
        <v>45267</v>
      </c>
      <c r="G69" s="146">
        <v>45267</v>
      </c>
      <c r="H69" s="146">
        <v>45267</v>
      </c>
      <c r="I69" s="146">
        <v>45267</v>
      </c>
      <c r="J69" s="146">
        <v>45267</v>
      </c>
      <c r="K69" s="146">
        <v>45267</v>
      </c>
      <c r="L69" s="146">
        <v>45267</v>
      </c>
      <c r="M69" s="146">
        <v>45267</v>
      </c>
      <c r="N69" s="121"/>
    </row>
    <row r="70" spans="2:17" s="129" customFormat="1" ht="15.75" hidden="1" customHeight="1" x14ac:dyDescent="0.25">
      <c r="B70" s="131"/>
      <c r="C70" s="147">
        <v>12887.3</v>
      </c>
      <c r="D70" s="147">
        <v>10992.47</v>
      </c>
      <c r="E70" s="147">
        <v>6873.25</v>
      </c>
      <c r="F70" s="147">
        <v>11968.97</v>
      </c>
      <c r="G70" s="147">
        <v>7608.46</v>
      </c>
      <c r="H70" s="147">
        <v>5208.34</v>
      </c>
      <c r="I70" s="147">
        <v>4199.92</v>
      </c>
      <c r="J70" s="147">
        <v>6435.21</v>
      </c>
      <c r="K70" s="147">
        <v>8468.36</v>
      </c>
      <c r="L70" s="147">
        <v>3076.38</v>
      </c>
      <c r="M70" s="148">
        <v>13327.3</v>
      </c>
      <c r="N70" s="130"/>
    </row>
    <row r="71" spans="2:17" ht="15.75" hidden="1" customHeight="1" x14ac:dyDescent="0.25">
      <c r="B71" s="14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P71" s="9"/>
    </row>
    <row r="72" spans="2:17" ht="15.75" hidden="1" customHeight="1" x14ac:dyDescent="0.25">
      <c r="B72" s="14" t="s">
        <v>44</v>
      </c>
      <c r="C72" s="85">
        <v>0.218</v>
      </c>
      <c r="D72" s="85">
        <v>0.22</v>
      </c>
      <c r="E72" s="85">
        <v>0.26</v>
      </c>
      <c r="F72" s="85">
        <v>0.31969999999999998</v>
      </c>
      <c r="G72" s="85">
        <v>0.28499999999999998</v>
      </c>
      <c r="H72" s="85" t="s">
        <v>48</v>
      </c>
      <c r="I72" s="85">
        <v>0.37</v>
      </c>
      <c r="J72" s="85"/>
      <c r="K72" s="85"/>
      <c r="L72" s="85"/>
      <c r="M72" s="85">
        <v>0.28000000000000003</v>
      </c>
      <c r="N72" s="85">
        <v>0.113</v>
      </c>
      <c r="P72" s="9"/>
    </row>
    <row r="73" spans="2:17" ht="15.75" hidden="1" customHeight="1" x14ac:dyDescent="0.25">
      <c r="B73" s="14" t="s">
        <v>45</v>
      </c>
      <c r="C73" s="102">
        <f t="shared" ref="C73:N73" si="14">C66/C81</f>
        <v>87.672755829108738</v>
      </c>
      <c r="D73" s="102">
        <f t="shared" si="14"/>
        <v>100.57533563441939</v>
      </c>
      <c r="E73" s="102">
        <f t="shared" si="14"/>
        <v>40.475612842521059</v>
      </c>
      <c r="F73" s="102">
        <f t="shared" si="14"/>
        <v>72.122291939290236</v>
      </c>
      <c r="G73" s="102">
        <f t="shared" si="14"/>
        <v>52.129174899459336</v>
      </c>
      <c r="H73" s="102">
        <f t="shared" si="14"/>
        <v>22.515023883600026</v>
      </c>
      <c r="I73" s="102">
        <f t="shared" si="14"/>
        <v>23.466612929788578</v>
      </c>
      <c r="J73" s="102">
        <f t="shared" si="14"/>
        <v>39.599429812115169</v>
      </c>
      <c r="K73" s="102">
        <f t="shared" si="14"/>
        <v>62.205419350529525</v>
      </c>
      <c r="L73" s="102">
        <f t="shared" si="14"/>
        <v>22.671890403291968</v>
      </c>
      <c r="M73" s="102">
        <f t="shared" si="14"/>
        <v>33.151179413867055</v>
      </c>
      <c r="N73" s="102">
        <f t="shared" si="14"/>
        <v>31.164205611089571</v>
      </c>
      <c r="O73" s="43"/>
      <c r="P73" s="43"/>
      <c r="Q73" s="43"/>
    </row>
    <row r="74" spans="2:17" ht="15.75" hidden="1" customHeight="1" x14ac:dyDescent="0.25">
      <c r="B74" s="14"/>
      <c r="C74" s="102"/>
      <c r="D74" s="17"/>
      <c r="E74" s="17"/>
      <c r="F74" s="17"/>
      <c r="G74" s="17"/>
      <c r="H74" s="17"/>
      <c r="I74" s="17"/>
      <c r="J74" s="17"/>
      <c r="O74" s="43"/>
      <c r="P74" s="43"/>
      <c r="Q74" s="43"/>
    </row>
    <row r="75" spans="2:17" ht="15.75" hidden="1" customHeight="1" x14ac:dyDescent="0.25">
      <c r="B75" s="3" t="s">
        <v>47</v>
      </c>
      <c r="C75" s="19" t="s">
        <v>0</v>
      </c>
      <c r="D75" s="19" t="s">
        <v>1</v>
      </c>
      <c r="E75" s="19" t="s">
        <v>2</v>
      </c>
      <c r="F75" s="19" t="s">
        <v>3</v>
      </c>
      <c r="G75" s="19" t="s">
        <v>4</v>
      </c>
      <c r="H75" s="19" t="s">
        <v>5</v>
      </c>
      <c r="I75" s="19" t="s">
        <v>6</v>
      </c>
      <c r="J75" s="19" t="s">
        <v>7</v>
      </c>
      <c r="K75" s="19" t="s">
        <v>8</v>
      </c>
      <c r="L75" s="19" t="s">
        <v>9</v>
      </c>
      <c r="M75" s="19" t="s">
        <v>10</v>
      </c>
      <c r="N75" s="19" t="s">
        <v>11</v>
      </c>
    </row>
    <row r="76" spans="2:17" ht="15.75" hidden="1" customHeight="1" x14ac:dyDescent="0.25">
      <c r="B76" s="23" t="s">
        <v>39</v>
      </c>
      <c r="C76" s="114">
        <v>22</v>
      </c>
      <c r="D76" s="114">
        <v>28</v>
      </c>
      <c r="E76" s="17">
        <v>19</v>
      </c>
      <c r="F76" s="17">
        <v>27</v>
      </c>
      <c r="G76" s="17">
        <v>43</v>
      </c>
      <c r="H76" s="17">
        <v>16</v>
      </c>
      <c r="I76" s="17">
        <v>41</v>
      </c>
      <c r="J76" s="17">
        <v>29</v>
      </c>
      <c r="K76" s="17">
        <v>23</v>
      </c>
      <c r="L76" s="17">
        <v>37</v>
      </c>
      <c r="M76" s="17">
        <v>27</v>
      </c>
      <c r="N76" s="17">
        <v>14</v>
      </c>
    </row>
    <row r="77" spans="2:17" ht="15.75" hidden="1" customHeight="1" x14ac:dyDescent="0.25">
      <c r="B77" s="23" t="s">
        <v>22</v>
      </c>
      <c r="C77">
        <v>64</v>
      </c>
      <c r="D77">
        <f>30+36</f>
        <v>66</v>
      </c>
      <c r="E77">
        <f>30+27</f>
        <v>57</v>
      </c>
      <c r="F77">
        <v>73</v>
      </c>
      <c r="G77">
        <v>104</v>
      </c>
      <c r="H77" s="17">
        <f>24+35</f>
        <v>59</v>
      </c>
      <c r="I77">
        <v>95</v>
      </c>
      <c r="J77">
        <v>78</v>
      </c>
      <c r="K77">
        <v>81</v>
      </c>
      <c r="L77">
        <v>92</v>
      </c>
      <c r="M77">
        <v>98</v>
      </c>
      <c r="N77">
        <v>52</v>
      </c>
    </row>
    <row r="78" spans="2:17" ht="15.75" hidden="1" customHeight="1" x14ac:dyDescent="0.25">
      <c r="B78" s="23" t="s">
        <v>23</v>
      </c>
      <c r="C78">
        <v>1030</v>
      </c>
      <c r="D78">
        <f>506+239</f>
        <v>745</v>
      </c>
      <c r="E78">
        <f>273+779</f>
        <v>1052</v>
      </c>
      <c r="F78">
        <v>1159</v>
      </c>
      <c r="G78">
        <v>1653</v>
      </c>
      <c r="H78">
        <f>884+305</f>
        <v>1189</v>
      </c>
      <c r="I78">
        <v>1767</v>
      </c>
      <c r="J78">
        <v>1364</v>
      </c>
      <c r="K78" s="81">
        <v>1143</v>
      </c>
      <c r="L78">
        <v>3778</v>
      </c>
      <c r="M78">
        <v>1694</v>
      </c>
      <c r="N78">
        <v>723</v>
      </c>
    </row>
    <row r="79" spans="2:17" ht="15.75" hidden="1" customHeight="1" x14ac:dyDescent="0.25">
      <c r="B79" s="23"/>
    </row>
    <row r="80" spans="2:17" ht="15.75" hidden="1" customHeight="1" x14ac:dyDescent="0.25">
      <c r="B80" s="23" t="s">
        <v>49</v>
      </c>
      <c r="C80" s="102">
        <f t="shared" ref="C80:K80" si="15">C78/C77</f>
        <v>16.09375</v>
      </c>
      <c r="D80" s="102">
        <f t="shared" si="15"/>
        <v>11.287878787878787</v>
      </c>
      <c r="E80" s="102">
        <f t="shared" si="15"/>
        <v>18.456140350877192</v>
      </c>
      <c r="F80" s="102">
        <f t="shared" si="15"/>
        <v>15.876712328767123</v>
      </c>
      <c r="G80" s="102">
        <f t="shared" si="15"/>
        <v>15.89423076923077</v>
      </c>
      <c r="H80" s="102">
        <f t="shared" si="15"/>
        <v>20.152542372881356</v>
      </c>
      <c r="I80" s="102">
        <f t="shared" si="15"/>
        <v>18.600000000000001</v>
      </c>
      <c r="J80" s="102">
        <f t="shared" si="15"/>
        <v>17.487179487179485</v>
      </c>
      <c r="K80" s="102">
        <f t="shared" si="15"/>
        <v>14.111111111111111</v>
      </c>
      <c r="M80" s="102">
        <f>M78/M77</f>
        <v>17.285714285714285</v>
      </c>
      <c r="N80" s="102">
        <f>N78/N77</f>
        <v>13.903846153846153</v>
      </c>
    </row>
    <row r="81" spans="2:20" ht="15.75" hidden="1" customHeight="1" x14ac:dyDescent="0.25">
      <c r="B81" s="23" t="s">
        <v>50</v>
      </c>
      <c r="C81" s="38">
        <f t="shared" ref="C81:N81" si="16">C59/C77</f>
        <v>152.011875</v>
      </c>
      <c r="D81" s="38">
        <f t="shared" si="16"/>
        <v>127.60772727272729</v>
      </c>
      <c r="E81" s="38">
        <f t="shared" si="16"/>
        <v>225.9817543859649</v>
      </c>
      <c r="F81" s="38">
        <f t="shared" si="16"/>
        <v>171.46931506849313</v>
      </c>
      <c r="G81" s="38">
        <f t="shared" si="16"/>
        <v>166.47971153846154</v>
      </c>
      <c r="H81" s="38">
        <f t="shared" si="16"/>
        <v>232.83830508474574</v>
      </c>
      <c r="I81" s="38">
        <f t="shared" si="16"/>
        <v>193.66621052631581</v>
      </c>
      <c r="J81" s="38">
        <f t="shared" si="16"/>
        <v>194.26794871794871</v>
      </c>
      <c r="K81" s="38">
        <f t="shared" si="16"/>
        <v>147.86975308641976</v>
      </c>
      <c r="L81" s="38">
        <f t="shared" si="16"/>
        <v>170.90326086956523</v>
      </c>
      <c r="M81" s="38">
        <f t="shared" si="16"/>
        <v>193.57591836734693</v>
      </c>
      <c r="N81" s="38">
        <f t="shared" si="16"/>
        <v>164.15980769230768</v>
      </c>
    </row>
    <row r="82" spans="2:20" ht="15.75" hidden="1" customHeight="1" x14ac:dyDescent="0.25">
      <c r="B82" s="23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</row>
    <row r="83" spans="2:20" ht="15.75" hidden="1" customHeight="1" x14ac:dyDescent="0.25">
      <c r="B83" s="23" t="s">
        <v>97</v>
      </c>
      <c r="C83" s="108">
        <v>0.75</v>
      </c>
      <c r="D83" s="24">
        <v>1</v>
      </c>
      <c r="E83" s="24">
        <v>1</v>
      </c>
      <c r="F83" s="24">
        <v>1</v>
      </c>
      <c r="G83" s="24">
        <v>1</v>
      </c>
      <c r="H83" s="24">
        <v>1</v>
      </c>
      <c r="I83" s="24">
        <v>1</v>
      </c>
      <c r="J83" s="24"/>
      <c r="K83" s="24">
        <v>1</v>
      </c>
      <c r="L83" s="79">
        <v>0.33</v>
      </c>
      <c r="M83" s="24">
        <v>0.75</v>
      </c>
      <c r="N83" s="24">
        <v>1</v>
      </c>
    </row>
    <row r="84" spans="2:20" ht="15.75" hidden="1" customHeight="1" x14ac:dyDescent="0.25">
      <c r="B84" s="23" t="s">
        <v>51</v>
      </c>
      <c r="D84" s="36">
        <v>1</v>
      </c>
      <c r="E84" s="36">
        <v>3</v>
      </c>
      <c r="F84">
        <v>4</v>
      </c>
      <c r="G84">
        <v>7</v>
      </c>
      <c r="I84">
        <v>6</v>
      </c>
      <c r="K84">
        <v>5</v>
      </c>
      <c r="L84">
        <v>3</v>
      </c>
      <c r="M84">
        <v>4</v>
      </c>
      <c r="N84">
        <v>1</v>
      </c>
    </row>
    <row r="85" spans="2:20" ht="15.75" hidden="1" customHeight="1" x14ac:dyDescent="0.25">
      <c r="D85" s="36"/>
      <c r="E85" s="36"/>
    </row>
    <row r="86" spans="2:20" ht="15.75" hidden="1" customHeight="1" x14ac:dyDescent="0.25">
      <c r="B86" s="23" t="s">
        <v>53</v>
      </c>
      <c r="D86" s="36"/>
      <c r="E86" s="36"/>
      <c r="N86" s="158" t="s">
        <v>112</v>
      </c>
    </row>
    <row r="87" spans="2:20" ht="15.75" customHeight="1" x14ac:dyDescent="0.25">
      <c r="B87" s="1">
        <v>2024</v>
      </c>
      <c r="C87" s="2" t="s">
        <v>0</v>
      </c>
      <c r="D87" s="2" t="s">
        <v>1</v>
      </c>
      <c r="E87" s="3" t="s">
        <v>2</v>
      </c>
      <c r="F87" s="3" t="s">
        <v>3</v>
      </c>
      <c r="G87" s="3" t="s">
        <v>4</v>
      </c>
      <c r="H87" s="2" t="s">
        <v>5</v>
      </c>
      <c r="I87" s="2" t="s">
        <v>6</v>
      </c>
      <c r="J87" s="3" t="s">
        <v>7</v>
      </c>
      <c r="K87" s="3" t="s">
        <v>8</v>
      </c>
      <c r="L87" s="3" t="s">
        <v>9</v>
      </c>
      <c r="M87" s="3" t="s">
        <v>10</v>
      </c>
      <c r="N87" s="2" t="s">
        <v>11</v>
      </c>
      <c r="O87" s="42"/>
      <c r="P87" s="42"/>
      <c r="Q87" s="43"/>
      <c r="R87" s="4"/>
      <c r="T87" s="44"/>
    </row>
    <row r="88" spans="2:20" ht="19.5" customHeight="1" x14ac:dyDescent="0.3">
      <c r="B88" s="37" t="s">
        <v>28</v>
      </c>
      <c r="C88" s="6">
        <f t="shared" ref="C88:N88" si="17">C59*1.15</f>
        <v>11188.073999999999</v>
      </c>
      <c r="D88" s="6">
        <f t="shared" si="17"/>
        <v>9685.4264999999996</v>
      </c>
      <c r="E88" s="7">
        <f t="shared" si="17"/>
        <v>14813.103999999998</v>
      </c>
      <c r="F88" s="7">
        <f t="shared" si="17"/>
        <v>14394.848999999997</v>
      </c>
      <c r="G88" s="7">
        <f t="shared" si="17"/>
        <v>19910.973499999996</v>
      </c>
      <c r="H88" s="6">
        <f t="shared" si="17"/>
        <v>15798.078999999998</v>
      </c>
      <c r="I88" s="6">
        <f t="shared" si="17"/>
        <v>21158.033499999998</v>
      </c>
      <c r="J88" s="7">
        <f t="shared" si="17"/>
        <v>17425.834999999999</v>
      </c>
      <c r="K88" s="7">
        <f t="shared" si="17"/>
        <v>13774.067499999999</v>
      </c>
      <c r="L88" s="7">
        <f t="shared" si="17"/>
        <v>18081.564999999999</v>
      </c>
      <c r="M88" s="7">
        <f t="shared" si="17"/>
        <v>21816.005999999998</v>
      </c>
      <c r="N88" s="6">
        <f t="shared" si="17"/>
        <v>9816.7564999999995</v>
      </c>
      <c r="O88" s="75">
        <f>SUM(C88:N88)</f>
        <v>187862.76949999997</v>
      </c>
      <c r="P88" s="13"/>
      <c r="Q88" s="13"/>
      <c r="R88" s="12"/>
      <c r="T88" s="36"/>
    </row>
    <row r="89" spans="2:20" ht="15.75" customHeight="1" x14ac:dyDescent="0.25">
      <c r="B89" s="45" t="s">
        <v>13</v>
      </c>
      <c r="C89" s="46">
        <v>12393.64</v>
      </c>
      <c r="D89" s="46">
        <v>14089.96</v>
      </c>
      <c r="E89" s="46">
        <v>12520.64</v>
      </c>
      <c r="F89" s="46">
        <v>22838.38</v>
      </c>
      <c r="G89" s="46">
        <v>11845.65</v>
      </c>
      <c r="H89" s="46">
        <v>15833.08</v>
      </c>
      <c r="I89" s="46">
        <v>17086.09</v>
      </c>
      <c r="J89" s="46">
        <v>12286.43</v>
      </c>
      <c r="K89" s="4">
        <v>16834.43</v>
      </c>
      <c r="L89" s="4">
        <v>15541.06</v>
      </c>
      <c r="M89" s="4">
        <v>18525.689999999999</v>
      </c>
      <c r="N89" s="4">
        <v>10834.1</v>
      </c>
      <c r="O89" s="275">
        <f t="shared" ref="O89:O90" si="18">SUM(C89:N89)</f>
        <v>180629.15</v>
      </c>
      <c r="P89" s="33"/>
      <c r="Q89" s="33"/>
    </row>
    <row r="90" spans="2:20" ht="15.75" customHeight="1" x14ac:dyDescent="0.25">
      <c r="B90" s="47" t="s">
        <v>14</v>
      </c>
      <c r="C90" s="48">
        <v>3203</v>
      </c>
      <c r="D90" s="48">
        <v>5538</v>
      </c>
      <c r="E90" s="48">
        <v>7443</v>
      </c>
      <c r="F90" s="48">
        <v>5879</v>
      </c>
      <c r="G90" s="46">
        <v>4796</v>
      </c>
      <c r="H90" s="46">
        <v>5753</v>
      </c>
      <c r="I90" s="46">
        <v>6372</v>
      </c>
      <c r="J90" s="46">
        <v>5982.02</v>
      </c>
      <c r="K90" s="4">
        <v>7008.68</v>
      </c>
      <c r="L90" s="12">
        <v>10356.9</v>
      </c>
      <c r="M90" s="12">
        <v>6423</v>
      </c>
      <c r="N90" s="12">
        <v>4190.18</v>
      </c>
      <c r="O90" s="275">
        <f t="shared" si="18"/>
        <v>72944.78</v>
      </c>
      <c r="P90" s="41"/>
      <c r="Q90" s="41"/>
      <c r="R90" s="12"/>
    </row>
    <row r="91" spans="2:20" ht="16.5" customHeight="1" x14ac:dyDescent="0.35">
      <c r="B91" s="11" t="s">
        <v>62</v>
      </c>
      <c r="C91" s="200">
        <f t="shared" ref="C91:N91" si="19">C89+C90</f>
        <v>15596.64</v>
      </c>
      <c r="D91" s="175">
        <f t="shared" si="19"/>
        <v>19627.96</v>
      </c>
      <c r="E91" s="175">
        <f t="shared" si="19"/>
        <v>19963.64</v>
      </c>
      <c r="F91" s="250">
        <f t="shared" si="19"/>
        <v>28717.38</v>
      </c>
      <c r="G91" s="216">
        <f t="shared" si="19"/>
        <v>16641.650000000001</v>
      </c>
      <c r="H91" s="247">
        <f t="shared" si="19"/>
        <v>21586.080000000002</v>
      </c>
      <c r="I91" s="248">
        <f t="shared" si="19"/>
        <v>23458.09</v>
      </c>
      <c r="J91" s="248">
        <f t="shared" si="19"/>
        <v>18268.45</v>
      </c>
      <c r="K91" s="246">
        <f t="shared" si="19"/>
        <v>23843.11</v>
      </c>
      <c r="L91" s="246">
        <f t="shared" si="19"/>
        <v>25897.96</v>
      </c>
      <c r="M91" s="246">
        <f t="shared" si="19"/>
        <v>24948.69</v>
      </c>
      <c r="N91" s="246">
        <f t="shared" si="19"/>
        <v>15024.28</v>
      </c>
      <c r="O91" s="75">
        <f>SUM(C91:N91)</f>
        <v>253573.93</v>
      </c>
      <c r="P91" s="76">
        <f>O91+O72+O63</f>
        <v>253573.93</v>
      </c>
      <c r="Q91" s="31"/>
    </row>
    <row r="92" spans="2:20" ht="15.75" customHeight="1" x14ac:dyDescent="0.25">
      <c r="B92" s="14" t="s">
        <v>111</v>
      </c>
      <c r="C92" s="116">
        <f t="shared" ref="C92:N92" si="20">(C91/C88)-1</f>
        <v>0.39404154816995329</v>
      </c>
      <c r="D92" s="116">
        <f t="shared" si="20"/>
        <v>1.02654575923941</v>
      </c>
      <c r="E92" s="116">
        <f t="shared" si="20"/>
        <v>0.347701332549883</v>
      </c>
      <c r="F92" s="116">
        <f t="shared" si="20"/>
        <v>0.99497611958277621</v>
      </c>
      <c r="G92" s="116">
        <f t="shared" si="20"/>
        <v>-0.16419706952048307</v>
      </c>
      <c r="H92" s="116">
        <f t="shared" si="20"/>
        <v>0.36637372176705818</v>
      </c>
      <c r="I92" s="116">
        <f t="shared" si="20"/>
        <v>0.10870842510009271</v>
      </c>
      <c r="J92" s="116">
        <f t="shared" si="20"/>
        <v>4.8354354325058191E-2</v>
      </c>
      <c r="K92" s="116">
        <f t="shared" si="20"/>
        <v>0.73101445887353189</v>
      </c>
      <c r="L92" s="116">
        <f t="shared" si="20"/>
        <v>0.43228531379888868</v>
      </c>
      <c r="M92" s="116">
        <f t="shared" si="20"/>
        <v>0.14359567007819862</v>
      </c>
      <c r="N92" s="116">
        <f t="shared" si="20"/>
        <v>0.53047292147869829</v>
      </c>
      <c r="O92" s="22"/>
      <c r="P92" s="22"/>
      <c r="Q92" s="22"/>
    </row>
    <row r="93" spans="2:20" ht="15.75" customHeight="1" x14ac:dyDescent="0.25">
      <c r="B93" s="14" t="s">
        <v>17</v>
      </c>
      <c r="C93" s="85">
        <f t="shared" ref="C93:F93" si="21">(C91/C59)-1</f>
        <v>0.60314778039544592</v>
      </c>
      <c r="D93" s="85">
        <f t="shared" si="21"/>
        <v>1.3305276231253211</v>
      </c>
      <c r="E93" s="85">
        <f t="shared" si="21"/>
        <v>0.54985653243236543</v>
      </c>
      <c r="F93" s="85">
        <f t="shared" si="21"/>
        <v>1.2942225375201923</v>
      </c>
      <c r="G93" s="85">
        <f>(G91/G59)-1</f>
        <v>-3.882662994855568E-2</v>
      </c>
      <c r="H93" s="85">
        <f t="shared" ref="H93:J93" si="22">(H91/H59)-1</f>
        <v>0.57132978003211687</v>
      </c>
      <c r="I93" s="85">
        <f t="shared" si="22"/>
        <v>0.27501468886510638</v>
      </c>
      <c r="J93" s="85">
        <f t="shared" si="22"/>
        <v>0.20560750747381706</v>
      </c>
      <c r="K93" s="106">
        <f t="shared" ref="K93:N93" si="23">(K91/K70)-1</f>
        <v>1.8155522438819323</v>
      </c>
      <c r="L93" s="106">
        <f t="shared" si="23"/>
        <v>7.4183228339801968</v>
      </c>
      <c r="M93" s="106">
        <f t="shared" si="23"/>
        <v>0.87199882947033536</v>
      </c>
      <c r="N93" s="106" t="e">
        <f t="shared" si="23"/>
        <v>#DIV/0!</v>
      </c>
      <c r="O93" s="43"/>
      <c r="P93" s="43"/>
      <c r="Q93" s="43"/>
    </row>
    <row r="94" spans="2:20" ht="15.75" hidden="1" customHeight="1" x14ac:dyDescent="0.25">
      <c r="B94" s="14"/>
      <c r="C94" s="17"/>
      <c r="D94" s="17"/>
      <c r="E94" s="17"/>
      <c r="F94" s="17"/>
      <c r="G94" s="17"/>
      <c r="H94" s="17"/>
      <c r="I94" s="17"/>
      <c r="J94" s="17"/>
      <c r="O94" s="43"/>
      <c r="P94" s="43"/>
      <c r="Q94" s="43"/>
    </row>
    <row r="95" spans="2:20" ht="15.75" customHeight="1" x14ac:dyDescent="0.25">
      <c r="B95" s="14" t="s">
        <v>48</v>
      </c>
      <c r="C95" s="269">
        <f>C91/C88</f>
        <v>1.3940415481699533</v>
      </c>
      <c r="D95" s="269">
        <f t="shared" ref="D95:O95" si="24">D91/D88</f>
        <v>2.02654575923941</v>
      </c>
      <c r="E95" s="269">
        <f t="shared" si="24"/>
        <v>1.347701332549883</v>
      </c>
      <c r="F95" s="269">
        <f t="shared" si="24"/>
        <v>1.9949761195827762</v>
      </c>
      <c r="G95" s="269">
        <f t="shared" si="24"/>
        <v>0.83580293047951693</v>
      </c>
      <c r="H95" s="269">
        <f t="shared" si="24"/>
        <v>1.3663737217670582</v>
      </c>
      <c r="I95" s="269">
        <f t="shared" si="24"/>
        <v>1.1087084251000927</v>
      </c>
      <c r="J95" s="269">
        <f t="shared" si="24"/>
        <v>1.0483543543250582</v>
      </c>
      <c r="K95" s="269">
        <f t="shared" si="24"/>
        <v>1.7310144588735319</v>
      </c>
      <c r="L95" s="269">
        <f t="shared" si="24"/>
        <v>1.4322853137988887</v>
      </c>
      <c r="M95" s="269">
        <f t="shared" si="24"/>
        <v>1.1435956700781986</v>
      </c>
      <c r="N95" s="269">
        <f t="shared" si="24"/>
        <v>1.5304729214786983</v>
      </c>
      <c r="O95" s="269">
        <f t="shared" si="24"/>
        <v>1.3497827732173406</v>
      </c>
      <c r="P95" s="43"/>
      <c r="Q95" s="43"/>
    </row>
    <row r="96" spans="2:20" ht="18.75" customHeight="1" x14ac:dyDescent="0.3">
      <c r="B96" s="5" t="s">
        <v>34</v>
      </c>
      <c r="C96" s="18"/>
      <c r="D96" s="18"/>
      <c r="E96" s="18"/>
      <c r="F96" s="18" t="s">
        <v>110</v>
      </c>
      <c r="G96" s="18"/>
      <c r="H96" s="18"/>
      <c r="I96" s="18"/>
      <c r="J96" s="18"/>
      <c r="K96" s="18"/>
      <c r="L96" s="18"/>
      <c r="M96" s="18"/>
      <c r="N96" s="18"/>
      <c r="P96" s="9"/>
    </row>
    <row r="97" spans="2:17" ht="15.75" customHeight="1" x14ac:dyDescent="0.25">
      <c r="B97" s="14" t="s">
        <v>34</v>
      </c>
      <c r="C97" s="18">
        <f t="shared" ref="C97:M97" si="25">C98+C99</f>
        <v>7831.71</v>
      </c>
      <c r="D97" s="18">
        <f t="shared" si="25"/>
        <v>11101.529999999999</v>
      </c>
      <c r="E97" s="186">
        <f t="shared" si="25"/>
        <v>15937.650000000001</v>
      </c>
      <c r="F97" s="186">
        <f t="shared" si="25"/>
        <v>17313.55</v>
      </c>
      <c r="G97" s="186">
        <f t="shared" si="25"/>
        <v>12081.03</v>
      </c>
      <c r="H97" s="186">
        <f t="shared" si="25"/>
        <v>12666.310000000001</v>
      </c>
      <c r="I97" s="186">
        <f t="shared" si="25"/>
        <v>18994</v>
      </c>
      <c r="J97" s="186">
        <f t="shared" si="25"/>
        <v>17564.98</v>
      </c>
      <c r="K97" s="186">
        <f t="shared" si="25"/>
        <v>16116.61</v>
      </c>
      <c r="L97" s="186">
        <f t="shared" si="25"/>
        <v>22222.23</v>
      </c>
      <c r="M97" s="186">
        <f t="shared" si="25"/>
        <v>14642.89</v>
      </c>
      <c r="N97" s="18"/>
      <c r="P97" s="9"/>
    </row>
    <row r="98" spans="2:17" ht="15.75" customHeight="1" x14ac:dyDescent="0.25">
      <c r="B98" s="14" t="s">
        <v>36</v>
      </c>
      <c r="C98" s="18">
        <v>4562.67</v>
      </c>
      <c r="D98" s="18">
        <v>5051.57</v>
      </c>
      <c r="E98" s="18">
        <v>10128.85</v>
      </c>
      <c r="F98" s="186">
        <v>7055.66</v>
      </c>
      <c r="G98" s="186">
        <v>6205.68</v>
      </c>
      <c r="H98" s="18">
        <v>7546.14</v>
      </c>
      <c r="I98" s="18">
        <v>9497</v>
      </c>
      <c r="J98" s="18">
        <v>7830.62</v>
      </c>
      <c r="K98" s="18">
        <v>8442.77</v>
      </c>
      <c r="L98" s="18">
        <v>13617.14</v>
      </c>
      <c r="M98" s="18">
        <v>8028.6</v>
      </c>
      <c r="N98" s="18"/>
      <c r="P98" s="9"/>
    </row>
    <row r="99" spans="2:17" s="83" customFormat="1" ht="15.75" customHeight="1" x14ac:dyDescent="0.25">
      <c r="B99" s="82" t="s">
        <v>37</v>
      </c>
      <c r="C99" s="84">
        <v>3269.04</v>
      </c>
      <c r="D99" s="84">
        <v>6049.96</v>
      </c>
      <c r="E99" s="84">
        <v>5808.8</v>
      </c>
      <c r="F99" s="84">
        <v>10257.89</v>
      </c>
      <c r="G99" s="84">
        <v>5875.35</v>
      </c>
      <c r="H99" s="84">
        <v>5120.17</v>
      </c>
      <c r="I99" s="84">
        <v>9497</v>
      </c>
      <c r="J99" s="84">
        <v>9734.36</v>
      </c>
      <c r="K99" s="84">
        <v>7673.84</v>
      </c>
      <c r="L99" s="84">
        <v>8605.09</v>
      </c>
      <c r="M99" s="84">
        <v>6614.29</v>
      </c>
      <c r="N99" s="84"/>
      <c r="P99" s="77"/>
    </row>
    <row r="100" spans="2:17" ht="15.75" customHeight="1" x14ac:dyDescent="0.25">
      <c r="B100" s="14" t="s">
        <v>38</v>
      </c>
      <c r="C100" s="192">
        <f t="shared" ref="C100:N100" si="26">C98/C97</f>
        <v>0.582589242962265</v>
      </c>
      <c r="D100" s="192">
        <f t="shared" si="26"/>
        <v>0.45503367553841678</v>
      </c>
      <c r="E100" s="192">
        <f t="shared" si="26"/>
        <v>0.63552970481846438</v>
      </c>
      <c r="F100" s="192">
        <f t="shared" si="26"/>
        <v>0.40752243185250858</v>
      </c>
      <c r="G100" s="192">
        <f t="shared" si="26"/>
        <v>0.51367143364431678</v>
      </c>
      <c r="H100" s="192">
        <f t="shared" si="26"/>
        <v>0.59576467021571389</v>
      </c>
      <c r="I100" s="192">
        <f t="shared" si="26"/>
        <v>0.5</v>
      </c>
      <c r="J100" s="192">
        <f t="shared" si="26"/>
        <v>0.44580864880005555</v>
      </c>
      <c r="K100" s="192">
        <f t="shared" si="26"/>
        <v>0.52385520280009257</v>
      </c>
      <c r="L100" s="192">
        <f t="shared" si="26"/>
        <v>0.61277108553012005</v>
      </c>
      <c r="M100" s="192">
        <f t="shared" si="26"/>
        <v>0.54829340382943537</v>
      </c>
      <c r="N100" s="192" t="e">
        <f t="shared" si="26"/>
        <v>#DIV/0!</v>
      </c>
      <c r="P100" s="9"/>
    </row>
    <row r="101" spans="2:17" ht="15.75" customHeight="1" x14ac:dyDescent="0.25">
      <c r="B101" s="132" t="s">
        <v>43</v>
      </c>
      <c r="C101" s="267">
        <f>C91+C99</f>
        <v>18865.68</v>
      </c>
      <c r="D101" s="267">
        <f t="shared" ref="D101:N101" si="27">D91+D99</f>
        <v>25677.919999999998</v>
      </c>
      <c r="E101" s="267">
        <f t="shared" si="27"/>
        <v>25772.44</v>
      </c>
      <c r="F101" s="267">
        <f t="shared" si="27"/>
        <v>38975.270000000004</v>
      </c>
      <c r="G101" s="267">
        <f t="shared" si="27"/>
        <v>22517</v>
      </c>
      <c r="H101" s="267">
        <f t="shared" si="27"/>
        <v>26706.25</v>
      </c>
      <c r="I101" s="267">
        <f t="shared" si="27"/>
        <v>32955.089999999997</v>
      </c>
      <c r="J101" s="267">
        <f t="shared" si="27"/>
        <v>28002.81</v>
      </c>
      <c r="K101" s="267">
        <f t="shared" si="27"/>
        <v>31516.95</v>
      </c>
      <c r="L101" s="267">
        <f t="shared" si="27"/>
        <v>34503.050000000003</v>
      </c>
      <c r="M101" s="267">
        <f t="shared" si="27"/>
        <v>31562.98</v>
      </c>
      <c r="N101" s="267">
        <f t="shared" si="27"/>
        <v>15024.28</v>
      </c>
      <c r="P101" s="9"/>
    </row>
    <row r="102" spans="2:17" s="122" customFormat="1" ht="15.75" customHeight="1" x14ac:dyDescent="0.25">
      <c r="B102" s="126" t="s">
        <v>42</v>
      </c>
      <c r="C102" s="207" t="s">
        <v>64</v>
      </c>
      <c r="D102" s="211" t="s">
        <v>64</v>
      </c>
      <c r="E102" s="209" t="s">
        <v>64</v>
      </c>
      <c r="F102" s="214" t="s">
        <v>174</v>
      </c>
      <c r="G102" s="214" t="s">
        <v>244</v>
      </c>
      <c r="H102" s="214" t="s">
        <v>244</v>
      </c>
      <c r="I102" s="214" t="s">
        <v>244</v>
      </c>
      <c r="J102" s="214" t="s">
        <v>244</v>
      </c>
      <c r="K102" s="214" t="s">
        <v>244</v>
      </c>
      <c r="L102" s="178"/>
      <c r="M102" s="178"/>
      <c r="N102" s="121"/>
    </row>
    <row r="103" spans="2:17" s="129" customFormat="1" ht="15.75" customHeight="1" x14ac:dyDescent="0.25">
      <c r="B103" s="82" t="s">
        <v>37</v>
      </c>
      <c r="C103" s="208">
        <v>6049.96</v>
      </c>
      <c r="D103" s="208">
        <v>6514.67</v>
      </c>
      <c r="E103" s="208">
        <v>6911.92</v>
      </c>
      <c r="F103" s="215">
        <v>7944.43</v>
      </c>
      <c r="G103" s="215">
        <v>5330.73</v>
      </c>
      <c r="H103" s="215">
        <v>5569.19</v>
      </c>
      <c r="I103" s="215">
        <v>9192.76</v>
      </c>
      <c r="J103" s="215">
        <v>8785.24</v>
      </c>
      <c r="K103" s="215">
        <v>7081.34</v>
      </c>
      <c r="L103" s="179"/>
      <c r="M103" s="180"/>
      <c r="N103" s="130"/>
    </row>
    <row r="104" spans="2:17" ht="15.75" customHeight="1" x14ac:dyDescent="0.25">
      <c r="B104" s="14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85"/>
      <c r="P104" s="9"/>
    </row>
    <row r="105" spans="2:17" ht="15.75" customHeight="1" x14ac:dyDescent="0.25">
      <c r="B105" s="14" t="s">
        <v>44</v>
      </c>
      <c r="C105" s="193">
        <v>7.6200000000000004E-2</v>
      </c>
      <c r="D105" s="193">
        <v>0.1009</v>
      </c>
      <c r="E105" s="192">
        <f>1832.93/7443</f>
        <v>0.24626225984146177</v>
      </c>
      <c r="F105" s="85">
        <f>1530.2/F90</f>
        <v>0.26028236094573909</v>
      </c>
      <c r="G105" s="85">
        <f>884.73/G90</f>
        <v>0.18447247706422018</v>
      </c>
      <c r="H105" s="231">
        <f>991.09/H90</f>
        <v>0.17227359638449505</v>
      </c>
      <c r="I105" s="85">
        <f>1460.88/I90</f>
        <v>0.22926553672316385</v>
      </c>
      <c r="J105" s="85">
        <f>1437.42/J90</f>
        <v>0.24029006924082499</v>
      </c>
      <c r="K105" s="85">
        <f>1437.42/K90</f>
        <v>0.20509140094853809</v>
      </c>
      <c r="L105" s="85">
        <f>2069.79/L90</f>
        <v>0.19984647915882167</v>
      </c>
      <c r="M105" s="85">
        <f>1729.44/M90</f>
        <v>0.26925735637552545</v>
      </c>
      <c r="N105" s="85"/>
      <c r="P105" s="9"/>
    </row>
    <row r="106" spans="2:17" ht="15.75" customHeight="1" x14ac:dyDescent="0.25">
      <c r="B106" s="14" t="s">
        <v>45</v>
      </c>
      <c r="C106" s="188">
        <f t="shared" ref="C106:J106" si="28">C98/C114</f>
        <v>28.376559951374141</v>
      </c>
      <c r="D106" s="188">
        <f t="shared" si="28"/>
        <v>29.854458639614105</v>
      </c>
      <c r="E106" s="188">
        <f t="shared" si="28"/>
        <v>76.10473340533089</v>
      </c>
      <c r="F106" s="188">
        <f t="shared" si="28"/>
        <v>30.465935262896544</v>
      </c>
      <c r="G106" s="188">
        <f t="shared" si="28"/>
        <v>36.544251321233169</v>
      </c>
      <c r="H106" s="188">
        <f t="shared" si="28"/>
        <v>42.998785328322697</v>
      </c>
      <c r="I106" s="188">
        <f t="shared" si="28"/>
        <v>55.464404817271991</v>
      </c>
      <c r="J106" s="188">
        <f t="shared" si="28"/>
        <v>49.293798871825466</v>
      </c>
      <c r="K106" s="102">
        <f>K99/K114</f>
        <v>49.242633196759982</v>
      </c>
      <c r="L106" s="102">
        <f>L99/L114</f>
        <v>52.830775474207236</v>
      </c>
      <c r="M106" s="102">
        <f>M99/M114</f>
        <v>34.199928332910467</v>
      </c>
      <c r="N106" s="102" t="e">
        <f>N99/N114</f>
        <v>#DIV/0!</v>
      </c>
      <c r="O106" s="43"/>
      <c r="P106" s="43"/>
      <c r="Q106" s="43"/>
    </row>
    <row r="107" spans="2:17" ht="15.75" hidden="1" customHeight="1" x14ac:dyDescent="0.25">
      <c r="B107" s="14"/>
      <c r="C107" s="102"/>
      <c r="D107" s="17"/>
      <c r="E107" s="17"/>
      <c r="F107" s="17"/>
      <c r="G107" s="17"/>
      <c r="H107" s="17"/>
      <c r="I107" s="17"/>
      <c r="J107" s="17"/>
      <c r="O107" s="43"/>
      <c r="P107" s="43"/>
      <c r="Q107" s="43"/>
    </row>
    <row r="108" spans="2:17" ht="15.75" customHeight="1" x14ac:dyDescent="0.25">
      <c r="B108" s="3" t="s">
        <v>65</v>
      </c>
      <c r="C108" s="19" t="s">
        <v>0</v>
      </c>
      <c r="D108" s="19" t="s">
        <v>1</v>
      </c>
      <c r="E108" s="19" t="s">
        <v>2</v>
      </c>
      <c r="F108" s="19" t="s">
        <v>3</v>
      </c>
      <c r="G108" s="19" t="s">
        <v>4</v>
      </c>
      <c r="H108" s="19" t="s">
        <v>5</v>
      </c>
      <c r="I108" s="19" t="s">
        <v>6</v>
      </c>
      <c r="J108" s="19" t="s">
        <v>7</v>
      </c>
      <c r="K108" s="19" t="s">
        <v>8</v>
      </c>
      <c r="L108" s="19" t="s">
        <v>9</v>
      </c>
      <c r="M108" s="19" t="s">
        <v>10</v>
      </c>
      <c r="N108" s="19" t="s">
        <v>11</v>
      </c>
    </row>
    <row r="109" spans="2:17" ht="15.75" customHeight="1" x14ac:dyDescent="0.25">
      <c r="B109" s="23" t="s">
        <v>39</v>
      </c>
      <c r="C109" s="114">
        <v>41</v>
      </c>
      <c r="D109" s="114">
        <v>50</v>
      </c>
      <c r="E109" s="17">
        <v>57</v>
      </c>
      <c r="F109" s="17">
        <v>40</v>
      </c>
      <c r="G109" s="17">
        <v>30</v>
      </c>
      <c r="H109" s="17">
        <v>38</v>
      </c>
      <c r="I109" s="17">
        <v>37</v>
      </c>
      <c r="J109" s="17">
        <v>44</v>
      </c>
      <c r="K109" s="17">
        <v>56</v>
      </c>
      <c r="L109" s="17">
        <v>41</v>
      </c>
      <c r="M109" s="17">
        <v>45</v>
      </c>
      <c r="N109" s="17"/>
    </row>
    <row r="110" spans="2:17" ht="15.75" customHeight="1" x14ac:dyDescent="0.25">
      <c r="B110" s="23" t="s">
        <v>22</v>
      </c>
      <c r="C110">
        <f>33+64</f>
        <v>97</v>
      </c>
      <c r="D110">
        <v>116</v>
      </c>
      <c r="E110">
        <f>82+68</f>
        <v>150</v>
      </c>
      <c r="F110">
        <f>53+71</f>
        <v>124</v>
      </c>
      <c r="G110">
        <f>45+53</f>
        <v>98</v>
      </c>
      <c r="H110" s="17">
        <f>57+66</f>
        <v>123</v>
      </c>
      <c r="I110">
        <f>75+62</f>
        <v>137</v>
      </c>
      <c r="J110">
        <f>48+67</f>
        <v>115</v>
      </c>
      <c r="K110">
        <f>75+78</f>
        <v>153</v>
      </c>
      <c r="L110">
        <f>72+87</f>
        <v>159</v>
      </c>
      <c r="M110">
        <f>71+58</f>
        <v>129</v>
      </c>
      <c r="N110">
        <f>51+38</f>
        <v>89</v>
      </c>
    </row>
    <row r="111" spans="2:17" ht="15.75" customHeight="1" x14ac:dyDescent="0.25">
      <c r="B111" s="23" t="s">
        <v>23</v>
      </c>
      <c r="C111">
        <f>339+1397</f>
        <v>1736</v>
      </c>
      <c r="D111" s="81">
        <v>1824</v>
      </c>
      <c r="E111">
        <f>1360+769</f>
        <v>2129</v>
      </c>
      <c r="F111">
        <f>596+1950</f>
        <v>2546</v>
      </c>
      <c r="G111">
        <f>387+1134</f>
        <v>1521</v>
      </c>
      <c r="H111">
        <f>456+1456</f>
        <v>1912</v>
      </c>
      <c r="I111">
        <f>624+1742</f>
        <v>2366</v>
      </c>
      <c r="J111">
        <f>1021+543</f>
        <v>1564</v>
      </c>
      <c r="K111" s="81">
        <f>725+1587</f>
        <v>2312</v>
      </c>
      <c r="L111" s="254">
        <f>939+1497</f>
        <v>2436</v>
      </c>
      <c r="M111">
        <f>611+1807</f>
        <v>2418</v>
      </c>
      <c r="N111">
        <f>479+867</f>
        <v>1346</v>
      </c>
    </row>
    <row r="112" spans="2:17" ht="15.75" customHeight="1" x14ac:dyDescent="0.25">
      <c r="B112" s="23" t="s">
        <v>214</v>
      </c>
      <c r="C112" s="260">
        <f>C110/22</f>
        <v>4.4090909090909092</v>
      </c>
      <c r="D112" s="260">
        <f t="shared" ref="D112:N112" si="29">D110/22</f>
        <v>5.2727272727272725</v>
      </c>
      <c r="E112" s="260">
        <f t="shared" si="29"/>
        <v>6.8181818181818183</v>
      </c>
      <c r="F112" s="260">
        <f t="shared" si="29"/>
        <v>5.6363636363636367</v>
      </c>
      <c r="G112" s="260">
        <f t="shared" si="29"/>
        <v>4.4545454545454541</v>
      </c>
      <c r="H112" s="260">
        <f t="shared" si="29"/>
        <v>5.5909090909090908</v>
      </c>
      <c r="I112" s="260">
        <f t="shared" si="29"/>
        <v>6.2272727272727275</v>
      </c>
      <c r="J112" s="260">
        <f t="shared" si="29"/>
        <v>5.2272727272727275</v>
      </c>
      <c r="K112" s="260">
        <f t="shared" si="29"/>
        <v>6.9545454545454541</v>
      </c>
      <c r="L112" s="261">
        <f t="shared" si="29"/>
        <v>7.2272727272727275</v>
      </c>
      <c r="M112" s="261">
        <f t="shared" si="29"/>
        <v>5.8636363636363633</v>
      </c>
      <c r="N112" s="260">
        <f t="shared" si="29"/>
        <v>4.0454545454545459</v>
      </c>
    </row>
    <row r="113" spans="2:14" ht="15.75" customHeight="1" x14ac:dyDescent="0.25">
      <c r="B113" s="23" t="s">
        <v>49</v>
      </c>
      <c r="C113" s="102">
        <f t="shared" ref="C113:H113" si="30">C111/C110</f>
        <v>17.896907216494846</v>
      </c>
      <c r="D113" s="102">
        <f t="shared" si="30"/>
        <v>15.724137931034482</v>
      </c>
      <c r="E113" s="102">
        <f t="shared" si="30"/>
        <v>14.193333333333333</v>
      </c>
      <c r="F113" s="102">
        <f t="shared" si="30"/>
        <v>20.532258064516128</v>
      </c>
      <c r="G113" s="102">
        <f t="shared" si="30"/>
        <v>15.520408163265307</v>
      </c>
      <c r="H113" s="102">
        <f t="shared" si="30"/>
        <v>15.544715447154472</v>
      </c>
      <c r="I113" s="102">
        <f t="shared" ref="I113:M113" si="31">I111/I110</f>
        <v>17.270072992700729</v>
      </c>
      <c r="J113" s="102">
        <f t="shared" si="31"/>
        <v>13.6</v>
      </c>
      <c r="K113" s="102">
        <f t="shared" si="31"/>
        <v>15.111111111111111</v>
      </c>
      <c r="L113" s="102">
        <f t="shared" si="31"/>
        <v>15.320754716981131</v>
      </c>
      <c r="M113" s="102">
        <f t="shared" si="31"/>
        <v>18.744186046511629</v>
      </c>
    </row>
    <row r="114" spans="2:14" ht="15.75" customHeight="1" x14ac:dyDescent="0.25">
      <c r="B114" s="23" t="s">
        <v>50</v>
      </c>
      <c r="C114" s="38">
        <f t="shared" ref="C114:H114" si="32">C91/C110</f>
        <v>160.79010309278351</v>
      </c>
      <c r="D114" s="38">
        <f t="shared" si="32"/>
        <v>169.20655172413791</v>
      </c>
      <c r="E114" s="38">
        <f t="shared" si="32"/>
        <v>133.09093333333334</v>
      </c>
      <c r="F114" s="38">
        <f t="shared" si="32"/>
        <v>231.59177419354839</v>
      </c>
      <c r="G114" s="38">
        <f t="shared" si="32"/>
        <v>169.81275510204082</v>
      </c>
      <c r="H114" s="38">
        <f t="shared" si="32"/>
        <v>175.49658536585366</v>
      </c>
      <c r="I114" s="38">
        <f t="shared" ref="I114:K114" si="33">I91/I110</f>
        <v>171.22693430656935</v>
      </c>
      <c r="J114" s="38">
        <f t="shared" si="33"/>
        <v>158.85608695652175</v>
      </c>
      <c r="K114" s="38">
        <f t="shared" si="33"/>
        <v>155.83732026143792</v>
      </c>
      <c r="L114" s="38">
        <f>L91/L110</f>
        <v>162.88025157232704</v>
      </c>
      <c r="M114" s="38">
        <f>M91/M110</f>
        <v>193.40069767441858</v>
      </c>
      <c r="N114" s="38"/>
    </row>
    <row r="115" spans="2:14" ht="15.75" customHeight="1" x14ac:dyDescent="0.25">
      <c r="B115" s="23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</row>
    <row r="116" spans="2:14" ht="15.75" customHeight="1" x14ac:dyDescent="0.25">
      <c r="B116" s="23" t="s">
        <v>97</v>
      </c>
      <c r="C116" s="176"/>
      <c r="D116" s="24">
        <v>1</v>
      </c>
      <c r="E116" s="24">
        <v>1</v>
      </c>
      <c r="F116" s="79">
        <v>1</v>
      </c>
      <c r="G116" s="24">
        <v>0.67</v>
      </c>
      <c r="H116" s="24">
        <v>0</v>
      </c>
      <c r="I116" s="24">
        <v>0.97</v>
      </c>
      <c r="J116" s="24">
        <v>0.94</v>
      </c>
      <c r="K116" s="24">
        <v>0.9</v>
      </c>
      <c r="L116" s="79">
        <v>0.93</v>
      </c>
      <c r="M116" s="24">
        <v>0.93</v>
      </c>
    </row>
    <row r="117" spans="2:14" ht="15.75" customHeight="1" x14ac:dyDescent="0.25">
      <c r="B117" s="23" t="s">
        <v>51</v>
      </c>
      <c r="C117" s="177"/>
      <c r="D117" s="36">
        <v>3</v>
      </c>
      <c r="E117" s="36">
        <v>3</v>
      </c>
      <c r="F117">
        <v>3</v>
      </c>
      <c r="G117">
        <v>3</v>
      </c>
      <c r="H117">
        <v>0</v>
      </c>
      <c r="I117">
        <v>65</v>
      </c>
      <c r="J117">
        <v>47</v>
      </c>
      <c r="K117">
        <v>58</v>
      </c>
      <c r="L117">
        <v>56</v>
      </c>
      <c r="M117">
        <v>55</v>
      </c>
    </row>
    <row r="118" spans="2:14" ht="15.75" customHeight="1" x14ac:dyDescent="0.25">
      <c r="B118" s="23"/>
      <c r="C118" s="184"/>
      <c r="D118" s="36"/>
      <c r="E118" s="36"/>
    </row>
    <row r="119" spans="2:14" ht="15.75" hidden="1" customHeight="1" x14ac:dyDescent="0.25">
      <c r="B119" s="217" t="s">
        <v>113</v>
      </c>
      <c r="C119" s="220" t="s">
        <v>114</v>
      </c>
      <c r="D119" s="223"/>
      <c r="E119" s="225"/>
      <c r="F119" s="229"/>
      <c r="G119" s="230"/>
      <c r="H119" s="222"/>
      <c r="I119" s="222"/>
      <c r="J119" s="222"/>
      <c r="K119" s="222"/>
      <c r="L119" s="222"/>
      <c r="M119" s="222"/>
      <c r="N119" s="222"/>
    </row>
    <row r="120" spans="2:14" ht="15.75" hidden="1" customHeight="1" x14ac:dyDescent="0.25">
      <c r="B120" s="23"/>
      <c r="C120" s="197" t="s">
        <v>84</v>
      </c>
      <c r="D120" s="196"/>
      <c r="E120" s="237" t="s">
        <v>115</v>
      </c>
      <c r="F120" s="239" t="s">
        <v>116</v>
      </c>
      <c r="G120" s="238" t="s">
        <v>159</v>
      </c>
      <c r="H120" s="212" t="s">
        <v>99</v>
      </c>
      <c r="I120" s="212" t="s">
        <v>99</v>
      </c>
      <c r="J120" s="212" t="s">
        <v>159</v>
      </c>
      <c r="K120" s="212" t="s">
        <v>221</v>
      </c>
      <c r="L120" s="212" t="s">
        <v>92</v>
      </c>
    </row>
    <row r="121" spans="2:14" ht="15.75" hidden="1" customHeight="1" x14ac:dyDescent="0.25">
      <c r="B121" s="23"/>
      <c r="C121" s="197" t="s">
        <v>119</v>
      </c>
      <c r="D121" s="196"/>
      <c r="E121" s="226" t="s">
        <v>117</v>
      </c>
      <c r="F121" s="227" t="s">
        <v>118</v>
      </c>
      <c r="G121" s="228" t="s">
        <v>117</v>
      </c>
      <c r="H121" s="228" t="s">
        <v>163</v>
      </c>
      <c r="I121" s="212" t="s">
        <v>194</v>
      </c>
      <c r="J121" s="212" t="s">
        <v>202</v>
      </c>
      <c r="K121" s="212" t="s">
        <v>222</v>
      </c>
      <c r="L121" s="212" t="s">
        <v>84</v>
      </c>
    </row>
    <row r="122" spans="2:14" ht="15.75" hidden="1" customHeight="1" x14ac:dyDescent="0.25">
      <c r="B122" s="23"/>
      <c r="C122" s="197" t="s">
        <v>122</v>
      </c>
      <c r="D122" s="196"/>
      <c r="E122" s="226" t="s">
        <v>120</v>
      </c>
      <c r="F122" s="227" t="s">
        <v>121</v>
      </c>
      <c r="G122" s="228" t="s">
        <v>115</v>
      </c>
      <c r="H122" s="212" t="s">
        <v>184</v>
      </c>
      <c r="I122" s="212" t="s">
        <v>195</v>
      </c>
      <c r="J122" s="212" t="s">
        <v>205</v>
      </c>
      <c r="K122" s="212" t="s">
        <v>115</v>
      </c>
      <c r="L122" s="212" t="s">
        <v>248</v>
      </c>
    </row>
    <row r="123" spans="2:14" ht="15.75" hidden="1" customHeight="1" x14ac:dyDescent="0.25">
      <c r="B123" s="23"/>
      <c r="C123" s="197" t="s">
        <v>125</v>
      </c>
      <c r="D123" s="196"/>
      <c r="E123" s="226" t="s">
        <v>123</v>
      </c>
      <c r="F123" s="227" t="s">
        <v>124</v>
      </c>
      <c r="G123" s="228" t="s">
        <v>160</v>
      </c>
      <c r="H123" s="212" t="s">
        <v>117</v>
      </c>
      <c r="I123" s="212" t="s">
        <v>115</v>
      </c>
      <c r="J123" s="212" t="s">
        <v>115</v>
      </c>
      <c r="K123" s="212" t="s">
        <v>129</v>
      </c>
      <c r="L123" s="212" t="s">
        <v>249</v>
      </c>
    </row>
    <row r="124" spans="2:14" ht="15.75" hidden="1" customHeight="1" x14ac:dyDescent="0.25">
      <c r="B124" s="23"/>
      <c r="C124" s="184"/>
      <c r="D124" s="36"/>
      <c r="E124" s="226" t="s">
        <v>126</v>
      </c>
      <c r="F124" s="227" t="s">
        <v>104</v>
      </c>
      <c r="G124" s="228" t="s">
        <v>161</v>
      </c>
      <c r="H124" s="212" t="s">
        <v>185</v>
      </c>
      <c r="I124" s="212" t="s">
        <v>196</v>
      </c>
      <c r="J124" s="212" t="s">
        <v>77</v>
      </c>
      <c r="K124" s="212" t="s">
        <v>223</v>
      </c>
      <c r="L124" s="212" t="s">
        <v>168</v>
      </c>
    </row>
    <row r="125" spans="2:14" ht="15.75" hidden="1" customHeight="1" x14ac:dyDescent="0.25">
      <c r="B125" s="23"/>
      <c r="C125" s="184"/>
      <c r="D125" s="36"/>
      <c r="E125" s="226" t="s">
        <v>127</v>
      </c>
      <c r="F125" s="227" t="s">
        <v>128</v>
      </c>
      <c r="G125" s="228" t="s">
        <v>135</v>
      </c>
      <c r="H125" s="212" t="s">
        <v>186</v>
      </c>
      <c r="I125" s="212" t="s">
        <v>77</v>
      </c>
      <c r="J125" s="212" t="s">
        <v>129</v>
      </c>
      <c r="K125" s="212" t="s">
        <v>121</v>
      </c>
      <c r="L125" s="212" t="s">
        <v>250</v>
      </c>
    </row>
    <row r="126" spans="2:14" ht="15.75" hidden="1" customHeight="1" x14ac:dyDescent="0.25">
      <c r="B126" s="23"/>
      <c r="C126" s="184"/>
      <c r="D126" s="36"/>
      <c r="E126" s="226" t="s">
        <v>129</v>
      </c>
      <c r="F126" s="227" t="s">
        <v>130</v>
      </c>
      <c r="G126" s="228" t="s">
        <v>162</v>
      </c>
      <c r="H126" s="212" t="s">
        <v>105</v>
      </c>
      <c r="I126" s="212" t="s">
        <v>197</v>
      </c>
      <c r="J126" s="212" t="s">
        <v>133</v>
      </c>
      <c r="K126" s="212" t="s">
        <v>224</v>
      </c>
      <c r="L126" s="212" t="s">
        <v>251</v>
      </c>
    </row>
    <row r="127" spans="2:14" ht="15.75" hidden="1" customHeight="1" x14ac:dyDescent="0.25">
      <c r="B127" s="23"/>
      <c r="C127" s="184"/>
      <c r="D127" s="36"/>
      <c r="E127" s="226" t="s">
        <v>131</v>
      </c>
      <c r="F127" s="227" t="s">
        <v>132</v>
      </c>
      <c r="G127" s="228" t="s">
        <v>163</v>
      </c>
      <c r="H127" s="212" t="s">
        <v>101</v>
      </c>
      <c r="I127" s="212" t="s">
        <v>133</v>
      </c>
      <c r="J127" s="212" t="s">
        <v>206</v>
      </c>
      <c r="K127" s="212" t="s">
        <v>117</v>
      </c>
      <c r="L127" s="212" t="s">
        <v>252</v>
      </c>
    </row>
    <row r="128" spans="2:14" ht="15.75" hidden="1" customHeight="1" x14ac:dyDescent="0.25">
      <c r="B128" s="23"/>
      <c r="C128" s="184"/>
      <c r="D128" s="36"/>
      <c r="E128" s="226" t="s">
        <v>133</v>
      </c>
      <c r="F128" s="227" t="s">
        <v>134</v>
      </c>
      <c r="G128" s="228" t="s">
        <v>128</v>
      </c>
      <c r="H128" s="212" t="s">
        <v>187</v>
      </c>
      <c r="I128" s="212" t="s">
        <v>198</v>
      </c>
      <c r="J128" s="212" t="s">
        <v>70</v>
      </c>
      <c r="K128" s="212" t="s">
        <v>102</v>
      </c>
      <c r="L128" s="212" t="s">
        <v>253</v>
      </c>
    </row>
    <row r="129" spans="2:14" ht="15.75" hidden="1" customHeight="1" x14ac:dyDescent="0.25">
      <c r="B129" s="23"/>
      <c r="C129" s="184"/>
      <c r="D129" s="36"/>
      <c r="E129" s="226" t="s">
        <v>135</v>
      </c>
      <c r="F129" s="227" t="s">
        <v>115</v>
      </c>
      <c r="G129" s="228" t="s">
        <v>164</v>
      </c>
      <c r="H129" s="212" t="s">
        <v>168</v>
      </c>
      <c r="I129" s="212" t="s">
        <v>129</v>
      </c>
      <c r="J129" s="212" t="s">
        <v>198</v>
      </c>
      <c r="K129" s="212" t="s">
        <v>225</v>
      </c>
      <c r="L129" s="212" t="s">
        <v>221</v>
      </c>
    </row>
    <row r="130" spans="2:14" ht="15.75" hidden="1" customHeight="1" x14ac:dyDescent="0.25">
      <c r="B130" s="23"/>
      <c r="C130" s="184"/>
      <c r="D130" s="36"/>
      <c r="E130" s="36"/>
      <c r="J130" s="212" t="s">
        <v>207</v>
      </c>
      <c r="K130" s="212" t="s">
        <v>226</v>
      </c>
      <c r="L130" s="212" t="s">
        <v>115</v>
      </c>
    </row>
    <row r="131" spans="2:14" ht="15.75" hidden="1" customHeight="1" x14ac:dyDescent="0.25">
      <c r="B131" s="23"/>
      <c r="C131" s="184"/>
      <c r="D131" s="36"/>
      <c r="E131" s="36"/>
      <c r="K131" s="212" t="s">
        <v>168</v>
      </c>
      <c r="L131" s="212" t="s">
        <v>117</v>
      </c>
    </row>
    <row r="132" spans="2:14" ht="15.75" hidden="1" customHeight="1" x14ac:dyDescent="0.25">
      <c r="B132" s="222" t="s">
        <v>241</v>
      </c>
      <c r="C132" s="222"/>
      <c r="D132" s="224"/>
      <c r="E132" s="224"/>
      <c r="F132" s="222"/>
      <c r="G132" s="222"/>
      <c r="H132" s="222"/>
      <c r="I132" s="222"/>
      <c r="J132" s="222"/>
      <c r="K132" s="222"/>
      <c r="L132" s="222"/>
      <c r="M132" s="222"/>
      <c r="N132" s="222"/>
    </row>
    <row r="133" spans="2:14" ht="15.75" hidden="1" customHeight="1" x14ac:dyDescent="0.25">
      <c r="B133" s="263" t="s">
        <v>231</v>
      </c>
      <c r="C133" s="184"/>
      <c r="D133" s="36"/>
      <c r="E133" s="36"/>
      <c r="K133" s="264">
        <v>5260.23</v>
      </c>
    </row>
    <row r="134" spans="2:14" ht="15.75" hidden="1" customHeight="1" x14ac:dyDescent="0.25">
      <c r="C134" s="184"/>
      <c r="D134" s="36"/>
      <c r="E134" s="36"/>
      <c r="K134" s="264"/>
    </row>
    <row r="135" spans="2:14" ht="15.75" hidden="1" customHeight="1" x14ac:dyDescent="0.25">
      <c r="B135" s="263" t="s">
        <v>232</v>
      </c>
      <c r="C135" s="184"/>
      <c r="D135" s="36"/>
      <c r="E135" s="36"/>
      <c r="K135" s="264">
        <v>3675.92</v>
      </c>
    </row>
    <row r="136" spans="2:14" ht="15.75" hidden="1" customHeight="1" x14ac:dyDescent="0.25">
      <c r="B136" s="263" t="s">
        <v>233</v>
      </c>
      <c r="C136" s="184"/>
      <c r="D136" s="36"/>
      <c r="E136" s="36"/>
      <c r="K136" s="264">
        <v>1584.31</v>
      </c>
    </row>
    <row r="137" spans="2:14" ht="15.75" hidden="1" customHeight="1" x14ac:dyDescent="0.25">
      <c r="B137" s="263" t="s">
        <v>234</v>
      </c>
      <c r="C137" s="184"/>
      <c r="D137" s="36"/>
      <c r="E137" s="36"/>
      <c r="K137" s="264"/>
    </row>
    <row r="138" spans="2:14" ht="15.75" hidden="1" customHeight="1" x14ac:dyDescent="0.25">
      <c r="B138" s="23"/>
      <c r="C138" s="184"/>
      <c r="D138" s="36"/>
      <c r="E138" s="36"/>
      <c r="K138" s="264"/>
    </row>
    <row r="139" spans="2:14" ht="15.75" hidden="1" customHeight="1" x14ac:dyDescent="0.25">
      <c r="B139" s="23"/>
      <c r="C139" s="184"/>
      <c r="D139" s="36"/>
      <c r="E139" s="36"/>
      <c r="K139" s="264"/>
    </row>
    <row r="140" spans="2:14" ht="15.75" hidden="1" customHeight="1" x14ac:dyDescent="0.25">
      <c r="B140" s="222" t="s">
        <v>240</v>
      </c>
      <c r="C140" s="184"/>
      <c r="D140" s="36"/>
      <c r="E140" s="36"/>
      <c r="K140" s="264"/>
    </row>
    <row r="141" spans="2:14" ht="15.75" hidden="1" customHeight="1" x14ac:dyDescent="0.25">
      <c r="B141" s="263" t="s">
        <v>231</v>
      </c>
      <c r="C141" s="184"/>
      <c r="D141" s="36"/>
      <c r="E141" s="36"/>
      <c r="K141" s="264">
        <v>3666.9</v>
      </c>
    </row>
    <row r="142" spans="2:14" ht="15.75" hidden="1" customHeight="1" x14ac:dyDescent="0.25">
      <c r="C142" s="184"/>
      <c r="D142" s="36"/>
      <c r="E142" s="36"/>
      <c r="K142" s="264"/>
    </row>
    <row r="143" spans="2:14" ht="15.75" hidden="1" customHeight="1" x14ac:dyDescent="0.25">
      <c r="B143" s="263" t="s">
        <v>232</v>
      </c>
      <c r="C143" s="184"/>
      <c r="D143" s="36"/>
      <c r="E143" s="36"/>
      <c r="K143" s="264">
        <v>2313.5</v>
      </c>
    </row>
    <row r="144" spans="2:14" ht="15.75" hidden="1" customHeight="1" x14ac:dyDescent="0.25">
      <c r="B144" s="263" t="s">
        <v>233</v>
      </c>
      <c r="C144" s="184"/>
      <c r="D144" s="36"/>
      <c r="E144" s="36"/>
      <c r="K144" s="264">
        <v>1353.4</v>
      </c>
    </row>
    <row r="145" spans="2:20" ht="15.75" hidden="1" customHeight="1" x14ac:dyDescent="0.25">
      <c r="B145" s="263" t="s">
        <v>234</v>
      </c>
      <c r="C145" s="184"/>
      <c r="D145" s="36"/>
      <c r="E145" s="36"/>
      <c r="K145" s="264"/>
    </row>
    <row r="146" spans="2:20" ht="15.75" hidden="1" customHeight="1" x14ac:dyDescent="0.25">
      <c r="B146" s="23"/>
      <c r="C146" s="184"/>
      <c r="D146" s="36"/>
      <c r="E146" s="36"/>
      <c r="K146" s="264"/>
    </row>
    <row r="147" spans="2:20" ht="15.75" hidden="1" customHeight="1" x14ac:dyDescent="0.25">
      <c r="B147" s="23"/>
      <c r="C147" s="184"/>
      <c r="D147" s="36"/>
      <c r="E147" s="36"/>
      <c r="K147" s="264"/>
    </row>
    <row r="148" spans="2:20" ht="15.75" hidden="1" customHeight="1" x14ac:dyDescent="0.25">
      <c r="B148" s="222" t="s">
        <v>239</v>
      </c>
      <c r="C148" s="184"/>
      <c r="D148" s="36"/>
      <c r="E148" s="36"/>
      <c r="K148" s="264"/>
    </row>
    <row r="149" spans="2:20" ht="15.75" hidden="1" customHeight="1" x14ac:dyDescent="0.25">
      <c r="B149" s="263" t="s">
        <v>231</v>
      </c>
      <c r="C149" s="184"/>
      <c r="D149" s="36"/>
      <c r="E149" s="36"/>
      <c r="K149" s="264">
        <v>3930.88</v>
      </c>
    </row>
    <row r="150" spans="2:20" ht="15.75" hidden="1" customHeight="1" x14ac:dyDescent="0.25">
      <c r="C150" s="184"/>
      <c r="D150" s="36"/>
      <c r="E150" s="36"/>
      <c r="K150" s="264"/>
    </row>
    <row r="151" spans="2:20" ht="15.75" hidden="1" customHeight="1" x14ac:dyDescent="0.25">
      <c r="B151" s="263" t="s">
        <v>232</v>
      </c>
      <c r="C151" s="184"/>
      <c r="D151" s="36"/>
      <c r="E151" s="36"/>
      <c r="K151" s="264">
        <v>1170.8900000000001</v>
      </c>
    </row>
    <row r="152" spans="2:20" ht="15.75" hidden="1" customHeight="1" x14ac:dyDescent="0.25">
      <c r="B152" s="263" t="s">
        <v>233</v>
      </c>
      <c r="C152" s="184"/>
      <c r="D152" s="36"/>
      <c r="E152" s="36"/>
      <c r="K152" s="264">
        <v>2759.99</v>
      </c>
    </row>
    <row r="153" spans="2:20" ht="15.75" hidden="1" customHeight="1" x14ac:dyDescent="0.25">
      <c r="B153" s="263" t="s">
        <v>234</v>
      </c>
      <c r="C153" s="184"/>
      <c r="D153" s="36"/>
      <c r="E153" s="36"/>
      <c r="K153" s="264"/>
    </row>
    <row r="154" spans="2:20" ht="15.75" hidden="1" customHeight="1" x14ac:dyDescent="0.25">
      <c r="B154" s="23"/>
      <c r="C154" s="184"/>
      <c r="D154" s="36"/>
      <c r="E154" s="36"/>
      <c r="K154" s="264"/>
    </row>
    <row r="155" spans="2:20" ht="15.75" customHeight="1" x14ac:dyDescent="0.25">
      <c r="B155" s="1">
        <v>2025</v>
      </c>
      <c r="C155" s="2" t="s">
        <v>0</v>
      </c>
      <c r="D155" s="2" t="s">
        <v>1</v>
      </c>
      <c r="E155" s="3" t="s">
        <v>2</v>
      </c>
      <c r="F155" s="3" t="s">
        <v>3</v>
      </c>
      <c r="G155" s="3" t="s">
        <v>4</v>
      </c>
      <c r="H155" s="2" t="s">
        <v>5</v>
      </c>
      <c r="I155" s="2" t="s">
        <v>6</v>
      </c>
      <c r="J155" s="3" t="s">
        <v>7</v>
      </c>
      <c r="K155" s="3" t="s">
        <v>8</v>
      </c>
      <c r="L155" s="3" t="s">
        <v>9</v>
      </c>
      <c r="M155" s="3" t="s">
        <v>10</v>
      </c>
      <c r="N155" s="2" t="s">
        <v>11</v>
      </c>
      <c r="O155" s="42"/>
      <c r="P155" s="42"/>
      <c r="Q155" s="43"/>
      <c r="R155" s="4"/>
      <c r="T155" s="44"/>
    </row>
    <row r="156" spans="2:20" ht="19.5" customHeight="1" x14ac:dyDescent="0.3">
      <c r="B156" s="272" t="s">
        <v>259</v>
      </c>
      <c r="C156" s="6">
        <f>C91*1.15</f>
        <v>17936.135999999999</v>
      </c>
      <c r="D156" s="6">
        <f t="shared" ref="D156:N156" si="34">D91*1.15</f>
        <v>22572.153999999999</v>
      </c>
      <c r="E156" s="6">
        <f t="shared" si="34"/>
        <v>22958.185999999998</v>
      </c>
      <c r="F156" s="6">
        <f t="shared" si="34"/>
        <v>33024.987000000001</v>
      </c>
      <c r="G156" s="6">
        <f t="shared" si="34"/>
        <v>19137.897499999999</v>
      </c>
      <c r="H156" s="6">
        <f t="shared" si="34"/>
        <v>24823.991999999998</v>
      </c>
      <c r="I156" s="6">
        <f t="shared" si="34"/>
        <v>26976.803499999998</v>
      </c>
      <c r="J156" s="6">
        <f t="shared" si="34"/>
        <v>21008.717499999999</v>
      </c>
      <c r="K156" s="6">
        <f t="shared" si="34"/>
        <v>27419.576499999999</v>
      </c>
      <c r="L156" s="6">
        <f t="shared" si="34"/>
        <v>29782.653999999995</v>
      </c>
      <c r="M156" s="6">
        <f t="shared" si="34"/>
        <v>28690.993499999997</v>
      </c>
      <c r="N156" s="6">
        <f t="shared" si="34"/>
        <v>17277.921999999999</v>
      </c>
      <c r="O156" s="75">
        <f>SUM(C156:N156)</f>
        <v>291610.01949999999</v>
      </c>
      <c r="P156" s="13"/>
      <c r="Q156" s="13"/>
      <c r="R156" s="12"/>
      <c r="T156" s="36"/>
    </row>
    <row r="157" spans="2:20" ht="15.75" customHeight="1" x14ac:dyDescent="0.25">
      <c r="B157" s="45" t="s">
        <v>13</v>
      </c>
      <c r="C157" s="46">
        <v>17714.39</v>
      </c>
      <c r="D157" s="46">
        <v>15536.71</v>
      </c>
      <c r="E157" s="46">
        <v>21375.31</v>
      </c>
      <c r="F157" s="46">
        <v>21746.3</v>
      </c>
      <c r="G157" s="46">
        <v>11457.75</v>
      </c>
      <c r="H157" s="46">
        <v>13140.04</v>
      </c>
      <c r="I157" s="46">
        <v>23808.06</v>
      </c>
      <c r="J157" s="46">
        <v>18176.02</v>
      </c>
      <c r="K157" s="4">
        <v>25839.51</v>
      </c>
      <c r="L157" s="4">
        <v>21126.07</v>
      </c>
      <c r="M157" s="4">
        <v>19817.2</v>
      </c>
      <c r="N157" s="4"/>
      <c r="P157" s="33"/>
      <c r="Q157" s="33"/>
    </row>
    <row r="158" spans="2:20" ht="15.75" customHeight="1" x14ac:dyDescent="0.25">
      <c r="B158" s="47" t="s">
        <v>14</v>
      </c>
      <c r="C158" s="48">
        <v>9990</v>
      </c>
      <c r="D158" s="48">
        <v>8135</v>
      </c>
      <c r="E158" s="48">
        <v>9736.15</v>
      </c>
      <c r="F158" s="48">
        <v>8031.96</v>
      </c>
      <c r="G158" s="46">
        <v>3946</v>
      </c>
      <c r="H158" s="46">
        <v>8092.5</v>
      </c>
      <c r="I158" s="46">
        <v>15341.8</v>
      </c>
      <c r="J158" s="46">
        <v>18668.68</v>
      </c>
      <c r="K158" s="4">
        <v>18722.45</v>
      </c>
      <c r="L158" s="12">
        <v>22281.1</v>
      </c>
      <c r="M158" s="12">
        <v>21268.66</v>
      </c>
      <c r="N158" s="12"/>
      <c r="P158" s="41"/>
      <c r="Q158" s="41"/>
      <c r="R158" s="12"/>
    </row>
    <row r="159" spans="2:20" ht="16.5" customHeight="1" x14ac:dyDescent="0.3">
      <c r="B159" s="273" t="s">
        <v>260</v>
      </c>
      <c r="C159" s="246">
        <f t="shared" ref="C159:M159" si="35">C157+C158</f>
        <v>27704.39</v>
      </c>
      <c r="D159" s="247">
        <f t="shared" si="35"/>
        <v>23671.71</v>
      </c>
      <c r="E159" s="247">
        <f t="shared" si="35"/>
        <v>31111.46</v>
      </c>
      <c r="F159" s="268">
        <f t="shared" si="35"/>
        <v>29778.26</v>
      </c>
      <c r="G159" s="216">
        <f t="shared" si="35"/>
        <v>15403.75</v>
      </c>
      <c r="H159" s="216">
        <f t="shared" si="35"/>
        <v>21232.54</v>
      </c>
      <c r="I159" s="247">
        <f t="shared" si="35"/>
        <v>39149.86</v>
      </c>
      <c r="J159" s="247">
        <f t="shared" si="35"/>
        <v>36844.699999999997</v>
      </c>
      <c r="K159" s="246">
        <f t="shared" si="35"/>
        <v>44561.96</v>
      </c>
      <c r="L159" s="246">
        <f t="shared" si="35"/>
        <v>43407.17</v>
      </c>
      <c r="M159" s="246">
        <f t="shared" si="35"/>
        <v>41085.86</v>
      </c>
      <c r="N159" s="49">
        <f>N156</f>
        <v>17277.921999999999</v>
      </c>
      <c r="O159" s="75">
        <f>SUM(C159:N159)</f>
        <v>371229.58199999999</v>
      </c>
      <c r="P159" s="76">
        <f>O159+O140+O131</f>
        <v>371229.58199999999</v>
      </c>
      <c r="Q159" s="31"/>
    </row>
    <row r="160" spans="2:20" ht="15.75" customHeight="1" x14ac:dyDescent="0.25">
      <c r="B160" s="14" t="s">
        <v>111</v>
      </c>
      <c r="C160" s="116">
        <f t="shared" ref="C160:N160" si="36">(C159/C156)-1</f>
        <v>0.54461306493215722</v>
      </c>
      <c r="D160" s="116">
        <f t="shared" si="36"/>
        <v>4.8712940732196008E-2</v>
      </c>
      <c r="E160" s="116">
        <f t="shared" si="36"/>
        <v>0.35513581081710899</v>
      </c>
      <c r="F160" s="116">
        <f t="shared" si="36"/>
        <v>-9.8311227192913075E-2</v>
      </c>
      <c r="G160" s="116">
        <f t="shared" si="36"/>
        <v>-0.19511795901300022</v>
      </c>
      <c r="H160" s="116">
        <f t="shared" si="36"/>
        <v>-0.14467664991190776</v>
      </c>
      <c r="I160" s="116">
        <f t="shared" si="36"/>
        <v>0.45124161948987029</v>
      </c>
      <c r="J160" s="116">
        <f t="shared" si="36"/>
        <v>0.75378149570529462</v>
      </c>
      <c r="K160" s="116">
        <f t="shared" si="36"/>
        <v>0.62518775590862985</v>
      </c>
      <c r="L160" s="116">
        <f t="shared" si="36"/>
        <v>0.4574648048491583</v>
      </c>
      <c r="M160" s="116">
        <f t="shared" si="36"/>
        <v>0.43201245366424845</v>
      </c>
      <c r="N160" s="116">
        <f t="shared" si="36"/>
        <v>0</v>
      </c>
      <c r="O160" s="22"/>
      <c r="P160" s="22"/>
      <c r="Q160" s="22"/>
    </row>
    <row r="161" spans="2:17" ht="15.75" customHeight="1" x14ac:dyDescent="0.25">
      <c r="B161" s="14" t="s">
        <v>17</v>
      </c>
      <c r="C161" s="85">
        <f>(C159/C91)-1</f>
        <v>0.7763050246719807</v>
      </c>
      <c r="D161" s="85">
        <f t="shared" ref="D161:N161" si="37">(D159/D91)-1</f>
        <v>0.20601988184202535</v>
      </c>
      <c r="E161" s="85">
        <f t="shared" si="37"/>
        <v>0.55840618243967532</v>
      </c>
      <c r="F161" s="85">
        <f t="shared" si="37"/>
        <v>3.6942088728149969E-2</v>
      </c>
      <c r="G161" s="120">
        <f t="shared" si="37"/>
        <v>-7.4385652864950358E-2</v>
      </c>
      <c r="H161" s="120">
        <f t="shared" si="37"/>
        <v>-1.6378147398694032E-2</v>
      </c>
      <c r="I161" s="192">
        <f t="shared" si="37"/>
        <v>0.66892786241335078</v>
      </c>
      <c r="J161" s="192">
        <f t="shared" si="37"/>
        <v>1.0168487200610885</v>
      </c>
      <c r="K161" s="192">
        <f t="shared" si="37"/>
        <v>0.86896591929492417</v>
      </c>
      <c r="L161" s="192">
        <f t="shared" si="37"/>
        <v>0.67608452557653198</v>
      </c>
      <c r="M161" s="192">
        <f t="shared" si="37"/>
        <v>0.64681432171388575</v>
      </c>
      <c r="N161" s="192">
        <f t="shared" si="37"/>
        <v>0.14999999999999991</v>
      </c>
      <c r="O161" s="43"/>
      <c r="P161" s="43"/>
      <c r="Q161" s="43"/>
    </row>
    <row r="162" spans="2:17" ht="15.75" hidden="1" customHeight="1" x14ac:dyDescent="0.25">
      <c r="B162" s="14"/>
      <c r="C162" s="17"/>
      <c r="D162" s="17"/>
      <c r="E162" s="17"/>
      <c r="F162" s="17"/>
      <c r="G162" s="17"/>
      <c r="H162" s="17"/>
      <c r="I162" s="17"/>
      <c r="J162" s="17"/>
      <c r="O162" s="43"/>
      <c r="P162" s="43"/>
      <c r="Q162" s="43"/>
    </row>
    <row r="163" spans="2:17" ht="15.75" hidden="1" customHeight="1" x14ac:dyDescent="0.25">
      <c r="B163" s="14" t="s">
        <v>48</v>
      </c>
      <c r="C163" s="269">
        <f>C159/C156</f>
        <v>1.5446130649321572</v>
      </c>
      <c r="D163" s="269">
        <f t="shared" ref="D163:O163" si="38">D159/D156</f>
        <v>1.048712940732196</v>
      </c>
      <c r="E163" s="269">
        <f t="shared" si="38"/>
        <v>1.355135810817109</v>
      </c>
      <c r="F163" s="269">
        <f t="shared" si="38"/>
        <v>0.90168877280708692</v>
      </c>
      <c r="G163" s="269">
        <f t="shared" si="38"/>
        <v>0.80488204098699978</v>
      </c>
      <c r="H163" s="269">
        <f t="shared" si="38"/>
        <v>0.85532335008809224</v>
      </c>
      <c r="I163" s="269">
        <f t="shared" si="38"/>
        <v>1.4512416194898703</v>
      </c>
      <c r="J163" s="269">
        <f t="shared" si="38"/>
        <v>1.7537814957052946</v>
      </c>
      <c r="K163" s="269">
        <f t="shared" si="38"/>
        <v>1.6251877559086298</v>
      </c>
      <c r="L163" s="269">
        <f t="shared" si="38"/>
        <v>1.4574648048491583</v>
      </c>
      <c r="M163" s="269">
        <f t="shared" si="38"/>
        <v>1.4320124536642485</v>
      </c>
      <c r="N163" s="269">
        <f t="shared" si="38"/>
        <v>1</v>
      </c>
      <c r="O163" s="269">
        <f t="shared" si="38"/>
        <v>1.273034385569183</v>
      </c>
      <c r="P163" s="43"/>
      <c r="Q163" s="43"/>
    </row>
    <row r="164" spans="2:17" ht="18.75" hidden="1" customHeight="1" x14ac:dyDescent="0.3">
      <c r="B164" s="5" t="s">
        <v>34</v>
      </c>
      <c r="C164" s="18"/>
      <c r="D164" s="18"/>
      <c r="E164" s="18"/>
      <c r="F164" s="18" t="s">
        <v>110</v>
      </c>
      <c r="G164" s="18"/>
      <c r="H164" s="18"/>
      <c r="I164" s="18"/>
      <c r="J164" s="18"/>
      <c r="K164" s="18"/>
      <c r="L164" s="18"/>
      <c r="M164" s="18"/>
      <c r="N164" s="18"/>
      <c r="P164" s="9"/>
    </row>
    <row r="165" spans="2:17" ht="15.75" hidden="1" customHeight="1" x14ac:dyDescent="0.25">
      <c r="B165" s="14" t="s">
        <v>34</v>
      </c>
      <c r="C165" s="18">
        <f>C166+C167</f>
        <v>25948.97</v>
      </c>
      <c r="D165" s="18">
        <f t="shared" ref="D165:N165" si="39">D166+D167</f>
        <v>17224.98</v>
      </c>
      <c r="E165" s="18">
        <f t="shared" si="39"/>
        <v>23209.86</v>
      </c>
      <c r="F165" s="18">
        <f t="shared" si="39"/>
        <v>17694.39</v>
      </c>
      <c r="G165" s="18">
        <f t="shared" si="39"/>
        <v>11191.16</v>
      </c>
      <c r="H165" s="18">
        <f t="shared" si="39"/>
        <v>16325.36</v>
      </c>
      <c r="I165" s="18">
        <f t="shared" si="39"/>
        <v>27449.21</v>
      </c>
      <c r="J165" s="18">
        <f t="shared" si="39"/>
        <v>37053.009999999995</v>
      </c>
      <c r="K165" s="18">
        <f t="shared" si="39"/>
        <v>34318.550000000003</v>
      </c>
      <c r="L165" s="18">
        <f t="shared" si="39"/>
        <v>37841.67</v>
      </c>
      <c r="M165" s="18">
        <f t="shared" si="39"/>
        <v>37462.07</v>
      </c>
      <c r="N165" s="18">
        <f t="shared" si="39"/>
        <v>0</v>
      </c>
      <c r="P165" s="9"/>
    </row>
    <row r="166" spans="2:17" ht="15.75" hidden="1" customHeight="1" x14ac:dyDescent="0.25">
      <c r="B166" s="14" t="s">
        <v>36</v>
      </c>
      <c r="C166" s="18">
        <v>13473.08</v>
      </c>
      <c r="D166" s="18">
        <v>8991.58</v>
      </c>
      <c r="E166" s="18">
        <v>13142.14</v>
      </c>
      <c r="F166" s="186">
        <v>8525.36</v>
      </c>
      <c r="G166" s="186">
        <v>6425.51</v>
      </c>
      <c r="H166" s="18">
        <v>10603.73</v>
      </c>
      <c r="I166" s="18">
        <v>20952.41</v>
      </c>
      <c r="J166" s="18">
        <v>23343.37</v>
      </c>
      <c r="K166" s="18">
        <v>22019.61</v>
      </c>
      <c r="L166" s="18">
        <v>25117.66</v>
      </c>
      <c r="M166" s="18">
        <v>23891.64</v>
      </c>
      <c r="N166" s="18"/>
      <c r="P166" s="9"/>
    </row>
    <row r="167" spans="2:17" s="83" customFormat="1" ht="15.75" hidden="1" customHeight="1" x14ac:dyDescent="0.25">
      <c r="B167" s="82" t="s">
        <v>37</v>
      </c>
      <c r="C167" s="84">
        <v>12475.89</v>
      </c>
      <c r="D167" s="84">
        <v>8233.4</v>
      </c>
      <c r="E167" s="84">
        <v>10067.719999999999</v>
      </c>
      <c r="F167" s="84">
        <v>9169.0300000000007</v>
      </c>
      <c r="G167" s="84">
        <v>4765.6499999999996</v>
      </c>
      <c r="H167" s="84">
        <v>5721.63</v>
      </c>
      <c r="I167" s="84">
        <v>6496.8</v>
      </c>
      <c r="J167" s="84">
        <v>13709.64</v>
      </c>
      <c r="K167" s="84">
        <v>12298.94</v>
      </c>
      <c r="L167" s="84">
        <v>12724.01</v>
      </c>
      <c r="M167" s="84">
        <v>13570.43</v>
      </c>
      <c r="N167" s="84"/>
      <c r="P167" s="77"/>
    </row>
    <row r="168" spans="2:17" ht="15.75" hidden="1" customHeight="1" x14ac:dyDescent="0.25">
      <c r="B168" s="14" t="s">
        <v>38</v>
      </c>
      <c r="C168" s="85">
        <f t="shared" ref="C168:N168" si="40">C166/C165</f>
        <v>0.51921444280832729</v>
      </c>
      <c r="D168" s="85">
        <f t="shared" si="40"/>
        <v>0.52200815327506911</v>
      </c>
      <c r="E168" s="85">
        <f t="shared" si="40"/>
        <v>0.56623090359011208</v>
      </c>
      <c r="F168" s="85">
        <f t="shared" si="40"/>
        <v>0.48181146679823383</v>
      </c>
      <c r="G168" s="85">
        <f t="shared" si="40"/>
        <v>0.5741594258325321</v>
      </c>
      <c r="H168" s="85">
        <f t="shared" si="40"/>
        <v>0.64952503344489798</v>
      </c>
      <c r="I168" s="339">
        <f t="shared" si="40"/>
        <v>0.76331559268918847</v>
      </c>
      <c r="J168" s="85">
        <f t="shared" si="40"/>
        <v>0.62999929020611289</v>
      </c>
      <c r="K168" s="85">
        <f t="shared" si="40"/>
        <v>0.64162413621787628</v>
      </c>
      <c r="L168" s="85">
        <f t="shared" si="40"/>
        <v>0.66375664710357662</v>
      </c>
      <c r="M168" s="85">
        <f t="shared" si="40"/>
        <v>0.63775546839776875</v>
      </c>
      <c r="N168" s="85" t="e">
        <f t="shared" si="40"/>
        <v>#DIV/0!</v>
      </c>
      <c r="P168" s="9"/>
    </row>
    <row r="169" spans="2:17" s="122" customFormat="1" ht="15.75" hidden="1" customHeight="1" x14ac:dyDescent="0.25">
      <c r="B169" s="126" t="s">
        <v>42</v>
      </c>
      <c r="C169" s="368">
        <v>45965</v>
      </c>
      <c r="D169" s="369">
        <v>45965</v>
      </c>
      <c r="E169" s="370">
        <v>45965</v>
      </c>
      <c r="F169" s="362">
        <v>45965</v>
      </c>
      <c r="G169" s="362">
        <v>45965</v>
      </c>
      <c r="H169" s="362">
        <v>45965</v>
      </c>
      <c r="I169" s="362">
        <v>45965</v>
      </c>
      <c r="J169" s="362">
        <v>45965</v>
      </c>
      <c r="K169" s="362">
        <v>45965</v>
      </c>
      <c r="L169" s="178"/>
      <c r="M169" s="178"/>
      <c r="N169" s="121"/>
    </row>
    <row r="170" spans="2:17" s="129" customFormat="1" ht="15.75" hidden="1" customHeight="1" x14ac:dyDescent="0.25">
      <c r="B170" s="82" t="s">
        <v>37</v>
      </c>
      <c r="C170" s="363">
        <v>7752.22</v>
      </c>
      <c r="D170" s="363">
        <v>5802.78</v>
      </c>
      <c r="E170" s="363">
        <v>7099.5</v>
      </c>
      <c r="F170" s="364">
        <v>3620.49</v>
      </c>
      <c r="G170" s="364">
        <v>3321.31</v>
      </c>
      <c r="H170" s="364">
        <v>4954.03</v>
      </c>
      <c r="I170" s="364">
        <v>7202.33</v>
      </c>
      <c r="J170" s="364">
        <v>10000</v>
      </c>
      <c r="K170" s="364">
        <v>12305.74</v>
      </c>
      <c r="L170" s="179"/>
      <c r="M170" s="180"/>
      <c r="N170" s="130"/>
    </row>
    <row r="171" spans="2:17" s="129" customFormat="1" ht="15.75" hidden="1" customHeight="1" x14ac:dyDescent="0.25">
      <c r="B171" s="82"/>
      <c r="C171" s="206"/>
      <c r="D171" s="206"/>
      <c r="E171" s="206"/>
      <c r="F171" s="130"/>
      <c r="G171" s="130"/>
      <c r="H171" s="130"/>
      <c r="I171" s="130"/>
      <c r="J171" s="130"/>
      <c r="K171" s="130"/>
      <c r="L171" s="161"/>
      <c r="M171" s="164"/>
      <c r="N171" s="130"/>
    </row>
    <row r="172" spans="2:17" s="337" customFormat="1" ht="15.75" hidden="1" customHeight="1" x14ac:dyDescent="0.25">
      <c r="B172" s="334" t="s">
        <v>43</v>
      </c>
      <c r="C172" s="335">
        <f>C159+C167</f>
        <v>40180.28</v>
      </c>
      <c r="D172" s="335">
        <f t="shared" ref="D172:N172" si="41">D159+D167</f>
        <v>31905.11</v>
      </c>
      <c r="E172" s="336">
        <f t="shared" si="41"/>
        <v>41179.18</v>
      </c>
      <c r="F172" s="335">
        <f t="shared" si="41"/>
        <v>38947.29</v>
      </c>
      <c r="G172" s="335">
        <f t="shared" si="41"/>
        <v>20169.400000000001</v>
      </c>
      <c r="H172" s="335">
        <f t="shared" si="41"/>
        <v>26954.170000000002</v>
      </c>
      <c r="I172" s="335">
        <f t="shared" si="41"/>
        <v>45646.66</v>
      </c>
      <c r="J172" s="335">
        <f t="shared" si="41"/>
        <v>50554.34</v>
      </c>
      <c r="K172" s="335">
        <f t="shared" si="41"/>
        <v>56860.9</v>
      </c>
      <c r="L172" s="335">
        <f t="shared" si="41"/>
        <v>56131.18</v>
      </c>
      <c r="M172" s="335">
        <f t="shared" si="41"/>
        <v>54656.29</v>
      </c>
      <c r="N172" s="335">
        <f t="shared" si="41"/>
        <v>17277.921999999999</v>
      </c>
      <c r="P172" s="338"/>
    </row>
    <row r="173" spans="2:17" ht="15.75" hidden="1" customHeight="1" x14ac:dyDescent="0.25">
      <c r="B173" s="14"/>
      <c r="C173" s="181"/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85"/>
      <c r="P173" s="9"/>
    </row>
    <row r="174" spans="2:17" ht="15.75" hidden="1" customHeight="1" x14ac:dyDescent="0.25">
      <c r="B174" s="14" t="s">
        <v>504</v>
      </c>
      <c r="C174" s="356">
        <f t="shared" ref="C174:H174" si="42">C159/2</f>
        <v>13852.195</v>
      </c>
      <c r="D174" s="356">
        <f t="shared" si="42"/>
        <v>11835.855</v>
      </c>
      <c r="E174" s="356">
        <f t="shared" si="42"/>
        <v>15555.73</v>
      </c>
      <c r="F174" s="356">
        <f t="shared" si="42"/>
        <v>14889.13</v>
      </c>
      <c r="G174" s="356">
        <f t="shared" si="42"/>
        <v>7701.875</v>
      </c>
      <c r="H174" s="356">
        <f t="shared" si="42"/>
        <v>10616.27</v>
      </c>
      <c r="I174" s="356">
        <f t="shared" ref="I174:J174" si="43">I159/2</f>
        <v>19574.93</v>
      </c>
      <c r="J174" s="356">
        <f t="shared" si="43"/>
        <v>18422.349999999999</v>
      </c>
      <c r="K174" s="356">
        <f>K159/2</f>
        <v>22280.98</v>
      </c>
      <c r="L174" s="356">
        <f t="shared" ref="L174:M174" si="44">L159/2</f>
        <v>21703.584999999999</v>
      </c>
      <c r="M174" s="356">
        <f t="shared" si="44"/>
        <v>20542.93</v>
      </c>
      <c r="N174" s="85"/>
      <c r="P174" s="9"/>
    </row>
    <row r="175" spans="2:17" ht="15.75" hidden="1" customHeight="1" x14ac:dyDescent="0.25">
      <c r="B175" s="14"/>
      <c r="C175" s="181"/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85"/>
      <c r="P175" s="9"/>
    </row>
    <row r="176" spans="2:17" ht="15.75" hidden="1" customHeight="1" x14ac:dyDescent="0.25">
      <c r="B176" s="14" t="s">
        <v>44</v>
      </c>
      <c r="C176" s="192">
        <f>2957.83/9990%</f>
        <v>29.607907907907904</v>
      </c>
      <c r="D176" s="192">
        <f>2600.03/D158</f>
        <v>0.31961032575291953</v>
      </c>
      <c r="E176" s="192">
        <f>2648.38/9736.15%</f>
        <v>27.20151189125065</v>
      </c>
      <c r="F176" s="85">
        <f>2302.24/F158</f>
        <v>0.28663489360006772</v>
      </c>
      <c r="G176" s="85">
        <f>884.73/G158</f>
        <v>0.22420932589964521</v>
      </c>
      <c r="H176" s="357">
        <f>2807.95/H159</f>
        <v>0.13224748428591207</v>
      </c>
      <c r="I176" s="85">
        <f>1460.88/I158</f>
        <v>9.5222203392040058E-2</v>
      </c>
      <c r="J176" s="85">
        <f>1437.42/J158</f>
        <v>7.6996338252088528E-2</v>
      </c>
      <c r="K176" s="85">
        <f>1437.42/K158</f>
        <v>7.6775208372835815E-2</v>
      </c>
      <c r="L176" s="85">
        <f>2069.79/L158</f>
        <v>9.2894426217736109E-2</v>
      </c>
      <c r="M176" s="85">
        <f>1729.44/M158</f>
        <v>8.1314008498889923E-2</v>
      </c>
      <c r="N176" s="85"/>
      <c r="P176" s="9"/>
    </row>
    <row r="177" spans="2:17" ht="15.75" hidden="1" customHeight="1" x14ac:dyDescent="0.25">
      <c r="B177" s="14" t="s">
        <v>45</v>
      </c>
      <c r="C177" s="188">
        <f t="shared" ref="C177:J177" si="45">C166/C184</f>
        <v>67.597883223561311</v>
      </c>
      <c r="D177" s="188">
        <f t="shared" si="45"/>
        <v>46.341086469883251</v>
      </c>
      <c r="E177" s="188">
        <f t="shared" si="45"/>
        <v>57.871703224470984</v>
      </c>
      <c r="F177" s="188">
        <f t="shared" si="45"/>
        <v>37.790909206918073</v>
      </c>
      <c r="G177" s="188">
        <f t="shared" si="45"/>
        <v>26.696917309096811</v>
      </c>
      <c r="H177" s="188">
        <f t="shared" si="45"/>
        <v>60.927946444466833</v>
      </c>
      <c r="I177" s="188">
        <f t="shared" si="45"/>
        <v>199.08874565579544</v>
      </c>
      <c r="J177" s="188">
        <f t="shared" si="45"/>
        <v>259.76006589821606</v>
      </c>
      <c r="K177" s="102">
        <f>K167/K184</f>
        <v>97.70272133451941</v>
      </c>
      <c r="L177" s="102">
        <f>L167/L184</f>
        <v>114.61442683317067</v>
      </c>
      <c r="M177" s="102">
        <f>M167/M184</f>
        <v>135.75100362995931</v>
      </c>
      <c r="N177" s="102" t="e">
        <f>N167/N184</f>
        <v>#DIV/0!</v>
      </c>
      <c r="O177" s="43"/>
      <c r="P177" s="43"/>
      <c r="Q177" s="43"/>
    </row>
    <row r="178" spans="2:17" hidden="1" x14ac:dyDescent="0.25">
      <c r="B178" s="14"/>
      <c r="C178" s="102"/>
      <c r="D178" s="17"/>
      <c r="E178" s="17"/>
      <c r="F178" s="17"/>
      <c r="G178" s="17"/>
      <c r="H178" s="17"/>
      <c r="I178" s="17"/>
      <c r="J178" s="17"/>
      <c r="K178" s="278"/>
      <c r="L178" s="278"/>
      <c r="O178" s="43"/>
      <c r="P178" s="43"/>
      <c r="Q178" s="43"/>
    </row>
    <row r="179" spans="2:17" ht="15.75" hidden="1" customHeight="1" x14ac:dyDescent="0.25">
      <c r="B179" s="23" t="s">
        <v>39</v>
      </c>
      <c r="C179" s="114">
        <v>42</v>
      </c>
      <c r="D179" s="114">
        <v>38</v>
      </c>
      <c r="E179" s="297">
        <v>44</v>
      </c>
      <c r="F179" s="297">
        <v>37</v>
      </c>
      <c r="G179" s="297">
        <v>17</v>
      </c>
      <c r="H179" s="297">
        <v>29</v>
      </c>
      <c r="I179" s="297">
        <v>249</v>
      </c>
      <c r="J179" s="297">
        <v>295</v>
      </c>
      <c r="K179" s="297">
        <v>218</v>
      </c>
      <c r="L179" s="297">
        <v>256</v>
      </c>
      <c r="M179" s="17">
        <v>271</v>
      </c>
      <c r="N179" s="17"/>
    </row>
    <row r="180" spans="2:17" ht="15.75" hidden="1" customHeight="1" x14ac:dyDescent="0.25">
      <c r="B180" s="23" t="s">
        <v>22</v>
      </c>
      <c r="C180" s="278">
        <f>77+62</f>
        <v>139</v>
      </c>
      <c r="D180" s="278">
        <f>74+48</f>
        <v>122</v>
      </c>
      <c r="E180" s="278">
        <f>67+70</f>
        <v>137</v>
      </c>
      <c r="F180" s="278">
        <f>66+66</f>
        <v>132</v>
      </c>
      <c r="G180" s="278">
        <f>44+20</f>
        <v>64</v>
      </c>
      <c r="H180" s="278">
        <f>56+66</f>
        <v>122</v>
      </c>
      <c r="I180" s="340">
        <f>204+168</f>
        <v>372</v>
      </c>
      <c r="J180" s="278">
        <v>410</v>
      </c>
      <c r="K180" s="278">
        <f>174+180</f>
        <v>354</v>
      </c>
      <c r="L180" s="278">
        <f>204+187</f>
        <v>391</v>
      </c>
      <c r="M180" s="278">
        <v>411</v>
      </c>
    </row>
    <row r="181" spans="2:17" ht="15.75" hidden="1" customHeight="1" x14ac:dyDescent="0.25">
      <c r="B181" s="23" t="s">
        <v>23</v>
      </c>
      <c r="C181" s="278">
        <f>804+1723</f>
        <v>2527</v>
      </c>
      <c r="D181" s="278">
        <f>782+1277</f>
        <v>2059</v>
      </c>
      <c r="E181" s="278">
        <f>843+1896</f>
        <v>2739</v>
      </c>
      <c r="F181" s="278">
        <f>1819+719</f>
        <v>2538</v>
      </c>
      <c r="G181" s="278">
        <f>240+963</f>
        <v>1203</v>
      </c>
      <c r="H181" s="278">
        <f>758+1323</f>
        <v>2081</v>
      </c>
      <c r="I181" s="278">
        <f>3123+1253</f>
        <v>4376</v>
      </c>
      <c r="J181" s="279">
        <v>4408</v>
      </c>
      <c r="K181" s="278">
        <f>1370+2922</f>
        <v>4292</v>
      </c>
      <c r="L181" s="278">
        <f>2751+1826</f>
        <v>4577</v>
      </c>
      <c r="M181" s="30">
        <v>4668</v>
      </c>
    </row>
    <row r="182" spans="2:17" ht="15.75" hidden="1" customHeight="1" x14ac:dyDescent="0.25">
      <c r="B182" s="23" t="s">
        <v>214</v>
      </c>
      <c r="C182" s="260">
        <f>C180/22</f>
        <v>6.3181818181818183</v>
      </c>
      <c r="D182" s="260">
        <f>D180/22</f>
        <v>5.5454545454545459</v>
      </c>
      <c r="E182" s="260">
        <f t="shared" ref="E182:N182" si="46">E180/22</f>
        <v>6.2272727272727275</v>
      </c>
      <c r="F182" s="260">
        <f t="shared" si="46"/>
        <v>6</v>
      </c>
      <c r="G182" s="260">
        <f t="shared" si="46"/>
        <v>2.9090909090909092</v>
      </c>
      <c r="H182" s="260">
        <f t="shared" si="46"/>
        <v>5.5454545454545459</v>
      </c>
      <c r="I182" s="260">
        <f t="shared" si="46"/>
        <v>16.90909090909091</v>
      </c>
      <c r="J182" s="260">
        <f t="shared" si="46"/>
        <v>18.636363636363637</v>
      </c>
      <c r="K182" s="260">
        <f t="shared" si="46"/>
        <v>16.09090909090909</v>
      </c>
      <c r="L182" s="260">
        <f t="shared" si="46"/>
        <v>17.772727272727273</v>
      </c>
      <c r="M182" s="260">
        <f t="shared" si="46"/>
        <v>18.681818181818183</v>
      </c>
      <c r="N182" s="260">
        <f t="shared" si="46"/>
        <v>0</v>
      </c>
    </row>
    <row r="183" spans="2:17" ht="15.75" hidden="1" customHeight="1" x14ac:dyDescent="0.25">
      <c r="B183" s="23" t="s">
        <v>49</v>
      </c>
      <c r="C183" s="102">
        <f>C181/C180</f>
        <v>18.179856115107913</v>
      </c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</row>
    <row r="184" spans="2:17" ht="15.75" hidden="1" customHeight="1" x14ac:dyDescent="0.25">
      <c r="B184" s="23" t="s">
        <v>50</v>
      </c>
      <c r="C184" s="358">
        <f t="shared" ref="C184:N184" si="47">C159/C180</f>
        <v>199.3121582733813</v>
      </c>
      <c r="D184" s="358">
        <f t="shared" si="47"/>
        <v>194.03040983606556</v>
      </c>
      <c r="E184" s="358">
        <f t="shared" si="47"/>
        <v>227.09094890510949</v>
      </c>
      <c r="F184" s="358">
        <f t="shared" si="47"/>
        <v>225.59287878787879</v>
      </c>
      <c r="G184" s="358">
        <f t="shared" si="47"/>
        <v>240.68359375</v>
      </c>
      <c r="H184" s="358">
        <f t="shared" si="47"/>
        <v>174.03721311475411</v>
      </c>
      <c r="I184" s="358">
        <f t="shared" si="47"/>
        <v>105.24155913978495</v>
      </c>
      <c r="J184" s="358">
        <f t="shared" si="47"/>
        <v>89.865121951219507</v>
      </c>
      <c r="K184" s="358">
        <f t="shared" si="47"/>
        <v>125.8812429378531</v>
      </c>
      <c r="L184" s="358">
        <f t="shared" si="47"/>
        <v>111.01578005115088</v>
      </c>
      <c r="M184" s="358">
        <f t="shared" si="47"/>
        <v>99.965596107055958</v>
      </c>
      <c r="N184" s="358" t="e">
        <f t="shared" si="47"/>
        <v>#DIV/0!</v>
      </c>
    </row>
    <row r="185" spans="2:17" ht="15.75" hidden="1" customHeight="1" x14ac:dyDescent="0.25">
      <c r="B185" s="23"/>
      <c r="C185" s="38"/>
      <c r="D185" s="38"/>
      <c r="E185" s="38"/>
      <c r="F185" s="38"/>
      <c r="G185" s="38"/>
      <c r="H185" s="38"/>
      <c r="I185" s="359"/>
      <c r="J185" s="38"/>
      <c r="K185" s="38"/>
      <c r="L185" s="38"/>
      <c r="M185" s="38"/>
      <c r="N185" s="38"/>
    </row>
    <row r="186" spans="2:17" ht="15.75" hidden="1" customHeight="1" x14ac:dyDescent="0.25">
      <c r="B186" s="23" t="s">
        <v>97</v>
      </c>
      <c r="C186" s="360">
        <v>0.9</v>
      </c>
      <c r="D186" s="361">
        <v>0.86</v>
      </c>
      <c r="E186" s="299">
        <v>0.98</v>
      </c>
      <c r="F186" s="79"/>
      <c r="G186" s="299">
        <v>0.94</v>
      </c>
      <c r="H186" s="299">
        <v>1</v>
      </c>
      <c r="I186" s="299">
        <v>1</v>
      </c>
      <c r="J186" s="299">
        <v>0.94</v>
      </c>
      <c r="K186" s="24"/>
      <c r="L186" s="79"/>
      <c r="M186" s="24"/>
    </row>
    <row r="187" spans="2:17" ht="15.75" hidden="1" customHeight="1" x14ac:dyDescent="0.25">
      <c r="B187" s="23" t="s">
        <v>51</v>
      </c>
      <c r="C187" s="285">
        <v>63</v>
      </c>
      <c r="D187" s="36">
        <v>44</v>
      </c>
      <c r="E187" s="36">
        <v>60</v>
      </c>
      <c r="G187" s="278">
        <v>16</v>
      </c>
      <c r="H187" s="278">
        <v>18</v>
      </c>
      <c r="I187" s="278">
        <v>64</v>
      </c>
      <c r="J187" s="278">
        <v>81</v>
      </c>
    </row>
    <row r="188" spans="2:17" ht="15.75" hidden="1" customHeight="1" x14ac:dyDescent="0.25">
      <c r="B188" s="23"/>
      <c r="C188" s="184"/>
      <c r="D188" s="36"/>
      <c r="E188" s="36"/>
    </row>
    <row r="189" spans="2:17" ht="15.75" hidden="1" customHeight="1" x14ac:dyDescent="0.25">
      <c r="B189" s="217" t="s">
        <v>113</v>
      </c>
      <c r="C189" s="220" t="s">
        <v>114</v>
      </c>
      <c r="D189" s="223"/>
      <c r="E189" s="225"/>
      <c r="F189" s="229"/>
      <c r="G189" s="230"/>
      <c r="H189" s="222"/>
      <c r="I189" s="222"/>
      <c r="J189" s="222"/>
      <c r="K189" s="222"/>
      <c r="L189" s="222"/>
      <c r="M189" s="222"/>
      <c r="N189" s="222"/>
    </row>
    <row r="190" spans="2:17" ht="15.75" hidden="1" customHeight="1" x14ac:dyDescent="0.25">
      <c r="B190" s="23"/>
      <c r="C190" s="197" t="s">
        <v>84</v>
      </c>
      <c r="D190" s="196"/>
      <c r="E190" s="237" t="s">
        <v>115</v>
      </c>
      <c r="F190" s="241" t="s">
        <v>77</v>
      </c>
      <c r="G190" s="238" t="s">
        <v>92</v>
      </c>
      <c r="H190" s="212" t="s">
        <v>70</v>
      </c>
      <c r="I190" s="212" t="s">
        <v>77</v>
      </c>
      <c r="J190" s="212" t="s">
        <v>77</v>
      </c>
      <c r="K190" s="212" t="s">
        <v>77</v>
      </c>
      <c r="L190" s="212" t="s">
        <v>77</v>
      </c>
      <c r="M190" s="212" t="s">
        <v>84</v>
      </c>
    </row>
    <row r="191" spans="2:17" ht="15.75" hidden="1" customHeight="1" x14ac:dyDescent="0.25">
      <c r="B191" s="23"/>
      <c r="C191" s="197" t="s">
        <v>119</v>
      </c>
      <c r="D191" s="196"/>
      <c r="E191" s="226" t="s">
        <v>117</v>
      </c>
      <c r="F191" s="243" t="s">
        <v>297</v>
      </c>
      <c r="G191" s="228" t="s">
        <v>313</v>
      </c>
      <c r="H191" s="228" t="s">
        <v>92</v>
      </c>
      <c r="I191" s="212" t="s">
        <v>117</v>
      </c>
      <c r="J191" s="212" t="s">
        <v>368</v>
      </c>
      <c r="K191" s="212" t="s">
        <v>392</v>
      </c>
      <c r="L191" s="212" t="s">
        <v>392</v>
      </c>
      <c r="M191" s="212" t="s">
        <v>439</v>
      </c>
    </row>
    <row r="192" spans="2:17" ht="15.75" hidden="1" customHeight="1" x14ac:dyDescent="0.25">
      <c r="B192" s="23"/>
      <c r="C192" s="197" t="s">
        <v>122</v>
      </c>
      <c r="D192" s="196"/>
      <c r="E192" s="226" t="s">
        <v>120</v>
      </c>
      <c r="F192" s="243" t="s">
        <v>133</v>
      </c>
      <c r="G192" s="228" t="s">
        <v>314</v>
      </c>
      <c r="H192" s="212" t="s">
        <v>254</v>
      </c>
      <c r="I192" s="212" t="s">
        <v>320</v>
      </c>
      <c r="J192" s="212" t="s">
        <v>369</v>
      </c>
      <c r="K192" s="212" t="s">
        <v>393</v>
      </c>
      <c r="L192" s="212" t="s">
        <v>424</v>
      </c>
      <c r="M192" s="212" t="s">
        <v>440</v>
      </c>
    </row>
    <row r="193" spans="2:16" ht="15.75" hidden="1" customHeight="1" x14ac:dyDescent="0.25">
      <c r="B193" s="23"/>
      <c r="C193" s="197" t="s">
        <v>125</v>
      </c>
      <c r="D193" s="196"/>
      <c r="E193" s="226" t="s">
        <v>123</v>
      </c>
      <c r="F193" s="243" t="s">
        <v>160</v>
      </c>
      <c r="G193" s="228" t="s">
        <v>121</v>
      </c>
      <c r="H193" s="212" t="s">
        <v>332</v>
      </c>
      <c r="I193" s="212" t="s">
        <v>346</v>
      </c>
      <c r="J193" s="212" t="s">
        <v>370</v>
      </c>
      <c r="K193" s="212" t="s">
        <v>394</v>
      </c>
      <c r="L193" s="212" t="s">
        <v>425</v>
      </c>
      <c r="M193" s="212" t="s">
        <v>425</v>
      </c>
    </row>
    <row r="194" spans="2:16" ht="15.75" hidden="1" customHeight="1" x14ac:dyDescent="0.25">
      <c r="B194" s="23"/>
      <c r="C194" s="184"/>
      <c r="D194" s="36"/>
      <c r="E194" s="226" t="s">
        <v>126</v>
      </c>
      <c r="F194" s="243" t="s">
        <v>99</v>
      </c>
      <c r="G194" s="228" t="s">
        <v>70</v>
      </c>
      <c r="H194" s="212" t="s">
        <v>100</v>
      </c>
      <c r="I194" s="212" t="s">
        <v>314</v>
      </c>
      <c r="J194" s="212" t="s">
        <v>371</v>
      </c>
      <c r="K194" s="212" t="s">
        <v>395</v>
      </c>
      <c r="L194" s="212" t="s">
        <v>92</v>
      </c>
      <c r="M194" s="212" t="s">
        <v>441</v>
      </c>
    </row>
    <row r="195" spans="2:16" ht="15.75" hidden="1" customHeight="1" x14ac:dyDescent="0.25">
      <c r="B195" s="23"/>
      <c r="C195" s="184"/>
      <c r="D195" s="36"/>
      <c r="E195" s="226" t="s">
        <v>127</v>
      </c>
      <c r="F195" s="243" t="s">
        <v>298</v>
      </c>
      <c r="G195" s="228" t="s">
        <v>315</v>
      </c>
      <c r="H195" s="212" t="s">
        <v>333</v>
      </c>
      <c r="I195" s="212" t="s">
        <v>347</v>
      </c>
      <c r="J195" s="212" t="s">
        <v>372</v>
      </c>
      <c r="K195" s="212" t="s">
        <v>396</v>
      </c>
      <c r="L195" s="212" t="s">
        <v>426</v>
      </c>
      <c r="M195" s="212" t="s">
        <v>375</v>
      </c>
    </row>
    <row r="196" spans="2:16" ht="15.75" hidden="1" customHeight="1" x14ac:dyDescent="0.25">
      <c r="B196" s="23"/>
      <c r="C196" s="184"/>
      <c r="D196" s="36"/>
      <c r="E196" s="226" t="s">
        <v>129</v>
      </c>
      <c r="F196" s="243" t="s">
        <v>168</v>
      </c>
      <c r="G196" s="228" t="s">
        <v>316</v>
      </c>
      <c r="H196" s="212" t="s">
        <v>334</v>
      </c>
      <c r="I196" s="212" t="s">
        <v>121</v>
      </c>
      <c r="J196" s="212" t="s">
        <v>373</v>
      </c>
      <c r="K196" s="212" t="s">
        <v>195</v>
      </c>
      <c r="L196" s="212" t="s">
        <v>427</v>
      </c>
      <c r="M196" s="212" t="s">
        <v>442</v>
      </c>
    </row>
    <row r="197" spans="2:16" ht="15.75" hidden="1" customHeight="1" x14ac:dyDescent="0.25">
      <c r="B197" s="23"/>
      <c r="C197" s="184"/>
      <c r="D197" s="36"/>
      <c r="E197" s="226" t="s">
        <v>131</v>
      </c>
      <c r="F197" s="243" t="s">
        <v>128</v>
      </c>
      <c r="G197" s="228" t="s">
        <v>317</v>
      </c>
      <c r="H197" s="212" t="s">
        <v>208</v>
      </c>
      <c r="I197" s="212" t="s">
        <v>348</v>
      </c>
      <c r="J197" s="212" t="s">
        <v>374</v>
      </c>
      <c r="K197" s="212" t="s">
        <v>397</v>
      </c>
      <c r="L197" s="212" t="s">
        <v>428</v>
      </c>
      <c r="M197" s="212" t="s">
        <v>443</v>
      </c>
    </row>
    <row r="198" spans="2:16" ht="15.75" hidden="1" customHeight="1" x14ac:dyDescent="0.25">
      <c r="B198" s="23"/>
      <c r="C198" s="184"/>
      <c r="D198" s="36"/>
      <c r="E198" s="226" t="s">
        <v>133</v>
      </c>
      <c r="F198" s="243" t="s">
        <v>299</v>
      </c>
      <c r="G198" s="228" t="s">
        <v>120</v>
      </c>
      <c r="H198" s="212" t="s">
        <v>132</v>
      </c>
      <c r="I198" s="212" t="s">
        <v>349</v>
      </c>
      <c r="J198" s="212" t="s">
        <v>375</v>
      </c>
      <c r="K198" s="212" t="s">
        <v>398</v>
      </c>
      <c r="L198" s="212" t="s">
        <v>429</v>
      </c>
      <c r="M198" s="212" t="s">
        <v>444</v>
      </c>
    </row>
    <row r="199" spans="2:16" ht="15.75" hidden="1" customHeight="1" x14ac:dyDescent="0.25">
      <c r="B199" s="23"/>
      <c r="C199" s="184"/>
      <c r="D199" s="36"/>
      <c r="E199" s="226" t="s">
        <v>135</v>
      </c>
      <c r="F199" s="243" t="s">
        <v>117</v>
      </c>
      <c r="G199" s="228" t="s">
        <v>318</v>
      </c>
      <c r="H199" s="212" t="s">
        <v>335</v>
      </c>
      <c r="I199" s="212" t="s">
        <v>350</v>
      </c>
      <c r="J199" s="212" t="s">
        <v>376</v>
      </c>
      <c r="K199" s="212" t="s">
        <v>399</v>
      </c>
      <c r="L199" s="212" t="s">
        <v>430</v>
      </c>
      <c r="M199" s="212" t="s">
        <v>445</v>
      </c>
    </row>
    <row r="200" spans="2:16" ht="15.75" hidden="1" customHeight="1" x14ac:dyDescent="0.25">
      <c r="B200" s="23"/>
      <c r="C200" s="184"/>
      <c r="D200" s="36"/>
      <c r="E200" s="36"/>
      <c r="F200" s="243" t="s">
        <v>157</v>
      </c>
      <c r="G200" s="228" t="s">
        <v>319</v>
      </c>
      <c r="H200" s="212" t="s">
        <v>336</v>
      </c>
      <c r="I200" s="212" t="s">
        <v>184</v>
      </c>
      <c r="J200" s="212" t="s">
        <v>377</v>
      </c>
      <c r="K200" s="212" t="s">
        <v>400</v>
      </c>
      <c r="L200" s="212" t="s">
        <v>431</v>
      </c>
      <c r="M200" s="212" t="s">
        <v>446</v>
      </c>
    </row>
    <row r="201" spans="2:16" ht="15.75" hidden="1" customHeight="1" x14ac:dyDescent="0.25">
      <c r="B201" s="23"/>
      <c r="C201" s="184"/>
      <c r="D201" s="36"/>
      <c r="E201" s="36"/>
      <c r="K201" s="212" t="s">
        <v>168</v>
      </c>
      <c r="L201" s="212" t="s">
        <v>117</v>
      </c>
      <c r="M201" s="212" t="s">
        <v>104</v>
      </c>
    </row>
    <row r="202" spans="2:16" ht="15.75" hidden="1" customHeight="1" x14ac:dyDescent="0.25">
      <c r="B202" s="23"/>
      <c r="C202" s="184"/>
      <c r="D202" s="36"/>
      <c r="E202" s="36"/>
      <c r="K202" s="212"/>
      <c r="L202" s="212"/>
      <c r="M202" s="212"/>
    </row>
    <row r="203" spans="2:16" ht="15.75" hidden="1" customHeight="1" x14ac:dyDescent="0.3">
      <c r="B203" s="23"/>
      <c r="C203" s="184"/>
      <c r="D203" s="36"/>
      <c r="E203" s="36"/>
      <c r="K203" s="212"/>
      <c r="L203" s="212"/>
      <c r="M203" s="391" t="s">
        <v>464</v>
      </c>
    </row>
    <row r="204" spans="2:16" ht="13.5" hidden="1" customHeight="1" x14ac:dyDescent="0.25">
      <c r="B204" s="23"/>
      <c r="C204" s="184"/>
      <c r="D204" s="36"/>
      <c r="E204" s="36"/>
      <c r="K204" s="212"/>
      <c r="L204" s="212"/>
      <c r="M204" s="389">
        <f>SUM(N210+N217+N224+N231+N238+N244+N250+N256+N268+N274+N280+N293)</f>
        <v>502.65125469436509</v>
      </c>
    </row>
    <row r="205" spans="2:16" ht="15.75" hidden="1" customHeight="1" x14ac:dyDescent="0.25">
      <c r="B205" s="290" t="s">
        <v>263</v>
      </c>
      <c r="C205" s="290" t="s">
        <v>264</v>
      </c>
      <c r="D205" s="295" t="s">
        <v>265</v>
      </c>
      <c r="E205" s="295" t="s">
        <v>266</v>
      </c>
      <c r="F205" s="295" t="s">
        <v>265</v>
      </c>
      <c r="G205" s="295" t="s">
        <v>267</v>
      </c>
      <c r="H205" s="295" t="s">
        <v>268</v>
      </c>
      <c r="I205" s="295" t="s">
        <v>269</v>
      </c>
      <c r="J205" s="295" t="s">
        <v>270</v>
      </c>
      <c r="K205" s="386" t="s">
        <v>462</v>
      </c>
      <c r="L205" s="386" t="s">
        <v>458</v>
      </c>
      <c r="M205" s="386"/>
      <c r="N205" s="386" t="s">
        <v>459</v>
      </c>
      <c r="O205" s="386" t="s">
        <v>460</v>
      </c>
      <c r="P205" s="386" t="s">
        <v>461</v>
      </c>
    </row>
    <row r="206" spans="2:16" ht="15.75" hidden="1" customHeight="1" x14ac:dyDescent="0.25">
      <c r="B206" s="291"/>
      <c r="C206" s="278" t="s">
        <v>290</v>
      </c>
      <c r="D206" s="278">
        <v>10</v>
      </c>
      <c r="E206" s="292">
        <v>4173.1400000000003</v>
      </c>
      <c r="F206" s="278">
        <v>49</v>
      </c>
      <c r="G206" s="292">
        <v>8254.9</v>
      </c>
      <c r="H206" s="278">
        <f>D206+F206</f>
        <v>59</v>
      </c>
      <c r="I206" s="292">
        <f>E206+G206</f>
        <v>12428.04</v>
      </c>
      <c r="J206" s="294">
        <f>G206/I206</f>
        <v>0.66421575727146032</v>
      </c>
      <c r="K206" s="387">
        <f>(G206*0.005)*J206</f>
        <v>27.415173273500887</v>
      </c>
      <c r="L206" s="388">
        <v>0.15</v>
      </c>
      <c r="M206" s="387"/>
      <c r="N206" s="288">
        <f>K206-M206</f>
        <v>27.415173273500887</v>
      </c>
      <c r="O206" s="264"/>
    </row>
    <row r="207" spans="2:16" ht="15.75" hidden="1" customHeight="1" x14ac:dyDescent="0.25">
      <c r="B207" s="295"/>
      <c r="C207" s="278" t="s">
        <v>291</v>
      </c>
      <c r="D207" s="278">
        <v>12</v>
      </c>
      <c r="E207" s="292">
        <v>3229.18</v>
      </c>
      <c r="F207" s="278">
        <v>38</v>
      </c>
      <c r="G207" s="292">
        <v>5257.69</v>
      </c>
      <c r="H207" s="278">
        <f>D207+F207</f>
        <v>50</v>
      </c>
      <c r="I207" s="292">
        <f>E207+G207</f>
        <v>8486.869999999999</v>
      </c>
      <c r="J207" s="294">
        <f>G207/I207</f>
        <v>0.61950872347520347</v>
      </c>
      <c r="K207" s="387">
        <f>(G207*0.005)*J207</f>
        <v>16.285924101641712</v>
      </c>
      <c r="L207" s="388">
        <v>0.15</v>
      </c>
      <c r="M207" s="387"/>
      <c r="N207" s="288">
        <f t="shared" ref="N207" si="48">K207-M207</f>
        <v>16.285924101641712</v>
      </c>
    </row>
    <row r="208" spans="2:16" ht="15.75" hidden="1" customHeight="1" x14ac:dyDescent="0.25">
      <c r="B208" s="295" t="s">
        <v>271</v>
      </c>
      <c r="C208" s="278"/>
      <c r="D208" s="278"/>
      <c r="E208" s="292"/>
      <c r="F208" s="278"/>
      <c r="G208" s="292"/>
      <c r="H208" s="278"/>
      <c r="I208" s="292"/>
      <c r="J208" s="294"/>
      <c r="K208" s="288"/>
      <c r="L208" s="254"/>
      <c r="M208" s="254"/>
    </row>
    <row r="209" spans="2:16" ht="15.75" hidden="1" customHeight="1" x14ac:dyDescent="0.25">
      <c r="B209" s="295"/>
      <c r="C209" s="278"/>
      <c r="D209" s="278"/>
      <c r="E209" s="292"/>
      <c r="F209" s="278"/>
      <c r="G209" s="292"/>
      <c r="H209" s="278"/>
      <c r="I209" s="292"/>
      <c r="J209" s="294"/>
      <c r="L209" s="254"/>
      <c r="M209" s="254"/>
    </row>
    <row r="210" spans="2:16" ht="15.75" hidden="1" customHeight="1" x14ac:dyDescent="0.25">
      <c r="B210" s="295"/>
      <c r="C210" s="278"/>
      <c r="D210" s="278"/>
      <c r="E210" s="292"/>
      <c r="F210" s="278"/>
      <c r="G210" s="292"/>
      <c r="H210" s="278"/>
      <c r="I210" s="292"/>
      <c r="J210" s="294"/>
      <c r="M210" s="290" t="s">
        <v>463</v>
      </c>
      <c r="N210" s="288">
        <f>SUM(N206:N209)</f>
        <v>43.701097375142595</v>
      </c>
    </row>
    <row r="211" spans="2:16" ht="15.75" hidden="1" customHeight="1" x14ac:dyDescent="0.25">
      <c r="B211" s="278"/>
      <c r="C211" s="290" t="s">
        <v>264</v>
      </c>
      <c r="D211" s="295" t="s">
        <v>265</v>
      </c>
      <c r="E211" s="295" t="s">
        <v>266</v>
      </c>
      <c r="F211" s="295" t="s">
        <v>265</v>
      </c>
      <c r="G211" s="295" t="s">
        <v>267</v>
      </c>
      <c r="H211" s="295" t="s">
        <v>268</v>
      </c>
      <c r="I211" s="295" t="s">
        <v>269</v>
      </c>
      <c r="J211" s="295" t="s">
        <v>270</v>
      </c>
      <c r="K211" s="386" t="s">
        <v>462</v>
      </c>
      <c r="L211" s="386" t="s">
        <v>458</v>
      </c>
      <c r="M211" s="386"/>
      <c r="N211" s="386" t="s">
        <v>459</v>
      </c>
      <c r="O211" s="386" t="s">
        <v>460</v>
      </c>
      <c r="P211" s="386" t="s">
        <v>461</v>
      </c>
    </row>
    <row r="212" spans="2:16" ht="15.75" hidden="1" customHeight="1" x14ac:dyDescent="0.25">
      <c r="B212" s="293"/>
      <c r="C212" s="278" t="s">
        <v>290</v>
      </c>
      <c r="D212" s="278">
        <v>5</v>
      </c>
      <c r="E212" s="292">
        <v>2376.15</v>
      </c>
      <c r="F212" s="278">
        <v>25</v>
      </c>
      <c r="G212" s="292">
        <v>3877.85</v>
      </c>
      <c r="H212" s="278">
        <f>D212+F212</f>
        <v>30</v>
      </c>
      <c r="I212" s="292">
        <f>E212+G212</f>
        <v>6254</v>
      </c>
      <c r="J212" s="294">
        <f>G212/I212</f>
        <v>0.6200591621362328</v>
      </c>
      <c r="K212" s="387">
        <f>(G212*0.005)*J212</f>
        <v>12.022482109449951</v>
      </c>
      <c r="L212" s="388">
        <v>0.15</v>
      </c>
      <c r="M212" s="387"/>
      <c r="N212" s="288">
        <f>K212-M212</f>
        <v>12.022482109449951</v>
      </c>
      <c r="O212" s="264"/>
    </row>
    <row r="213" spans="2:16" ht="15.75" hidden="1" customHeight="1" x14ac:dyDescent="0.25">
      <c r="B213" s="295"/>
      <c r="C213" s="278" t="s">
        <v>291</v>
      </c>
      <c r="D213" s="278">
        <v>11</v>
      </c>
      <c r="E213" s="292">
        <v>2125.6999999999998</v>
      </c>
      <c r="F213" s="278">
        <v>45</v>
      </c>
      <c r="G213" s="292">
        <v>4755.9799999999996</v>
      </c>
      <c r="H213" s="278">
        <f>D213+F213</f>
        <v>56</v>
      </c>
      <c r="I213" s="292">
        <f>E213+G213</f>
        <v>6881.6799999999994</v>
      </c>
      <c r="J213" s="294">
        <f>G213/I213</f>
        <v>0.69110740400599857</v>
      </c>
      <c r="K213" s="387">
        <f>(G213*0.005)*J213</f>
        <v>16.434464956522245</v>
      </c>
      <c r="L213" s="388">
        <v>0.15</v>
      </c>
      <c r="M213" s="387"/>
      <c r="N213" s="288">
        <f t="shared" ref="N213" si="49">K213-M213</f>
        <v>16.434464956522245</v>
      </c>
    </row>
    <row r="214" spans="2:16" ht="15.75" hidden="1" customHeight="1" x14ac:dyDescent="0.25">
      <c r="B214" s="295" t="s">
        <v>272</v>
      </c>
      <c r="C214" s="278"/>
      <c r="D214" s="278"/>
      <c r="E214" s="292"/>
      <c r="F214" s="278"/>
      <c r="G214" s="292"/>
      <c r="H214" s="278"/>
      <c r="I214" s="292"/>
      <c r="J214" s="289"/>
    </row>
    <row r="215" spans="2:16" ht="15.75" hidden="1" customHeight="1" x14ac:dyDescent="0.25">
      <c r="B215" s="295"/>
      <c r="C215" s="278"/>
      <c r="D215" s="278"/>
      <c r="E215" s="292"/>
      <c r="F215" s="278"/>
      <c r="G215" s="292"/>
      <c r="H215" s="278"/>
      <c r="I215" s="292"/>
      <c r="J215" s="289"/>
    </row>
    <row r="216" spans="2:16" ht="15.75" hidden="1" customHeight="1" x14ac:dyDescent="0.25">
      <c r="B216" s="295"/>
      <c r="C216" s="278"/>
      <c r="D216" s="278"/>
      <c r="E216" s="288"/>
      <c r="F216" s="278"/>
      <c r="G216" s="288"/>
      <c r="H216" s="278"/>
      <c r="I216" s="292"/>
      <c r="J216" s="289"/>
    </row>
    <row r="217" spans="2:16" ht="15.75" hidden="1" customHeight="1" x14ac:dyDescent="0.25">
      <c r="B217" s="295"/>
      <c r="C217" s="278"/>
      <c r="D217" s="278"/>
      <c r="E217" s="288"/>
      <c r="F217" s="278"/>
      <c r="G217" s="288"/>
      <c r="H217" s="278"/>
      <c r="I217" s="292"/>
      <c r="J217" s="289"/>
      <c r="M217" s="290" t="s">
        <v>463</v>
      </c>
      <c r="N217" s="288">
        <f>SUM(N212:N216)</f>
        <v>28.456947065972194</v>
      </c>
    </row>
    <row r="218" spans="2:16" ht="15.75" hidden="1" customHeight="1" x14ac:dyDescent="0.25">
      <c r="C218" s="290" t="s">
        <v>264</v>
      </c>
      <c r="D218" s="295" t="s">
        <v>265</v>
      </c>
      <c r="E218" s="295" t="s">
        <v>266</v>
      </c>
      <c r="F218" s="295" t="s">
        <v>265</v>
      </c>
      <c r="G218" s="295" t="s">
        <v>267</v>
      </c>
      <c r="H218" s="295" t="s">
        <v>268</v>
      </c>
      <c r="I218" s="295" t="s">
        <v>269</v>
      </c>
      <c r="J218" s="295" t="s">
        <v>270</v>
      </c>
      <c r="K218" s="386" t="s">
        <v>462</v>
      </c>
      <c r="L218" s="386" t="s">
        <v>458</v>
      </c>
      <c r="M218" s="386"/>
      <c r="N218" s="386" t="s">
        <v>459</v>
      </c>
      <c r="O218" s="386" t="s">
        <v>460</v>
      </c>
      <c r="P218" s="386" t="s">
        <v>461</v>
      </c>
    </row>
    <row r="219" spans="2:16" ht="15.75" hidden="1" customHeight="1" x14ac:dyDescent="0.25">
      <c r="B219" s="295"/>
      <c r="C219" s="278" t="s">
        <v>290</v>
      </c>
      <c r="D219" s="278">
        <v>24</v>
      </c>
      <c r="E219" s="292">
        <v>7192.02</v>
      </c>
      <c r="F219" s="278">
        <v>39</v>
      </c>
      <c r="G219" s="292">
        <v>5206.68</v>
      </c>
      <c r="H219" s="278">
        <f>D219+F219</f>
        <v>63</v>
      </c>
      <c r="I219" s="292">
        <f>E219+G219</f>
        <v>12398.7</v>
      </c>
      <c r="J219" s="294">
        <f>G219/I219</f>
        <v>0.41993757410051052</v>
      </c>
      <c r="K219" s="387">
        <f>(G219*0.005)*J219</f>
        <v>10.93240284158823</v>
      </c>
      <c r="L219" s="388">
        <v>0.15</v>
      </c>
      <c r="M219" s="387"/>
      <c r="N219" s="288">
        <f>K219-M219</f>
        <v>10.93240284158823</v>
      </c>
      <c r="O219" s="264"/>
    </row>
    <row r="220" spans="2:16" ht="15.75" hidden="1" customHeight="1" x14ac:dyDescent="0.25">
      <c r="B220" s="295"/>
      <c r="C220" s="278" t="s">
        <v>291</v>
      </c>
      <c r="D220" s="278">
        <v>8</v>
      </c>
      <c r="E220" s="292">
        <v>1565.11</v>
      </c>
      <c r="F220" s="278">
        <v>29</v>
      </c>
      <c r="G220" s="292">
        <v>3687.55</v>
      </c>
      <c r="H220" s="278">
        <f>D220+F220</f>
        <v>37</v>
      </c>
      <c r="I220" s="292">
        <f>E220+G220</f>
        <v>5252.66</v>
      </c>
      <c r="J220" s="294">
        <f>G220/I220</f>
        <v>0.70203477856933449</v>
      </c>
      <c r="K220" s="387">
        <f>(G220*0.005)*J220</f>
        <v>12.943941738566748</v>
      </c>
      <c r="L220" s="388">
        <v>0.15</v>
      </c>
      <c r="M220" s="387"/>
      <c r="N220" s="288">
        <f t="shared" ref="N220" si="50">K220-M220</f>
        <v>12.943941738566748</v>
      </c>
    </row>
    <row r="221" spans="2:16" ht="15.75" hidden="1" customHeight="1" x14ac:dyDescent="0.25">
      <c r="B221" s="295" t="s">
        <v>273</v>
      </c>
      <c r="C221" s="278"/>
      <c r="D221" s="278"/>
      <c r="E221" s="292"/>
      <c r="F221" s="278"/>
      <c r="G221" s="292"/>
      <c r="H221" s="278"/>
      <c r="I221" s="292"/>
      <c r="J221" s="294"/>
    </row>
    <row r="222" spans="2:16" ht="15.75" hidden="1" customHeight="1" x14ac:dyDescent="0.25">
      <c r="B222" s="295"/>
      <c r="C222" s="278"/>
      <c r="D222" s="278"/>
      <c r="E222" s="292"/>
      <c r="F222" s="278"/>
      <c r="G222" s="292"/>
      <c r="H222" s="278"/>
      <c r="I222" s="292"/>
      <c r="J222" s="294"/>
    </row>
    <row r="223" spans="2:16" ht="15.75" hidden="1" customHeight="1" x14ac:dyDescent="0.25">
      <c r="B223" s="295"/>
      <c r="C223" s="278"/>
      <c r="D223" s="278"/>
      <c r="E223" s="292"/>
      <c r="F223" s="278"/>
      <c r="G223" s="292"/>
      <c r="H223" s="278"/>
      <c r="I223" s="292"/>
      <c r="J223" s="294"/>
    </row>
    <row r="224" spans="2:16" ht="15.75" hidden="1" customHeight="1" x14ac:dyDescent="0.25">
      <c r="B224" s="295"/>
      <c r="C224" s="278"/>
      <c r="D224" s="278"/>
      <c r="E224" s="292"/>
      <c r="F224" s="278"/>
      <c r="G224" s="292"/>
      <c r="H224" s="278"/>
      <c r="I224" s="292"/>
      <c r="J224" s="294"/>
      <c r="M224" s="290" t="s">
        <v>463</v>
      </c>
      <c r="N224" s="288">
        <f>SUM(N219:N223)</f>
        <v>23.876344580154978</v>
      </c>
    </row>
    <row r="225" spans="2:16" ht="15.75" hidden="1" customHeight="1" x14ac:dyDescent="0.25">
      <c r="B225" s="278"/>
      <c r="C225" s="290" t="s">
        <v>264</v>
      </c>
      <c r="D225" s="295" t="s">
        <v>265</v>
      </c>
      <c r="E225" s="295" t="s">
        <v>266</v>
      </c>
      <c r="F225" s="295" t="s">
        <v>265</v>
      </c>
      <c r="G225" s="295" t="s">
        <v>267</v>
      </c>
      <c r="H225" s="295" t="s">
        <v>268</v>
      </c>
      <c r="I225" s="295" t="s">
        <v>269</v>
      </c>
      <c r="J225" s="295" t="s">
        <v>270</v>
      </c>
      <c r="K225" s="386" t="s">
        <v>462</v>
      </c>
      <c r="L225" s="386" t="s">
        <v>458</v>
      </c>
      <c r="M225" s="386"/>
      <c r="N225" s="386" t="s">
        <v>459</v>
      </c>
      <c r="O225" s="386" t="s">
        <v>460</v>
      </c>
      <c r="P225" s="386" t="s">
        <v>461</v>
      </c>
    </row>
    <row r="226" spans="2:16" ht="15.75" hidden="1" customHeight="1" x14ac:dyDescent="0.25">
      <c r="B226" s="293"/>
      <c r="C226" s="278" t="s">
        <v>290</v>
      </c>
      <c r="D226" s="278">
        <v>5</v>
      </c>
      <c r="E226" s="292">
        <v>1068.27</v>
      </c>
      <c r="F226" s="278">
        <v>33</v>
      </c>
      <c r="G226" s="292">
        <v>3241.23</v>
      </c>
      <c r="H226" s="278">
        <f>D226+F226</f>
        <v>38</v>
      </c>
      <c r="I226" s="292">
        <f>E226+G226</f>
        <v>4309.5</v>
      </c>
      <c r="J226" s="294">
        <f>G226/I226</f>
        <v>0.75211277410372435</v>
      </c>
      <c r="K226" s="387">
        <f>(G226*0.005)*J226</f>
        <v>12.188852434041072</v>
      </c>
      <c r="L226" s="388">
        <v>0.15</v>
      </c>
      <c r="M226" s="387"/>
      <c r="N226" s="288">
        <f>K226-M226</f>
        <v>12.188852434041072</v>
      </c>
      <c r="O226" s="264"/>
    </row>
    <row r="227" spans="2:16" ht="15.75" hidden="1" customHeight="1" x14ac:dyDescent="0.25">
      <c r="B227" s="295"/>
      <c r="C227" s="278" t="s">
        <v>291</v>
      </c>
      <c r="D227" s="278">
        <v>10</v>
      </c>
      <c r="E227" s="292">
        <v>2349.12</v>
      </c>
      <c r="F227" s="278">
        <v>35</v>
      </c>
      <c r="G227" s="292">
        <v>4994.2299999999996</v>
      </c>
      <c r="H227" s="278">
        <f>D227+F227</f>
        <v>45</v>
      </c>
      <c r="I227" s="292">
        <f>E227+G227</f>
        <v>7343.3499999999995</v>
      </c>
      <c r="J227" s="294">
        <f>G227/I227</f>
        <v>0.68010240557783574</v>
      </c>
      <c r="K227" s="387">
        <f>(G227*0.005)*J227</f>
        <v>16.982939185044973</v>
      </c>
      <c r="L227" s="388">
        <v>0.15</v>
      </c>
      <c r="M227" s="387"/>
      <c r="N227" s="288">
        <f t="shared" ref="N227" si="51">K227-M227</f>
        <v>16.982939185044973</v>
      </c>
    </row>
    <row r="228" spans="2:16" ht="15.75" hidden="1" customHeight="1" x14ac:dyDescent="0.25">
      <c r="B228" s="295" t="s">
        <v>274</v>
      </c>
      <c r="C228" s="278"/>
      <c r="D228" s="278"/>
      <c r="E228" s="292"/>
      <c r="F228" s="278"/>
      <c r="G228" s="292"/>
      <c r="H228" s="278"/>
      <c r="I228" s="292"/>
      <c r="J228" s="289"/>
    </row>
    <row r="229" spans="2:16" ht="15.75" hidden="1" customHeight="1" x14ac:dyDescent="0.25">
      <c r="B229" s="295"/>
      <c r="C229" s="278"/>
      <c r="D229" s="278"/>
      <c r="E229" s="292"/>
      <c r="F229" s="278"/>
      <c r="G229" s="292"/>
      <c r="H229" s="278"/>
      <c r="I229" s="292"/>
      <c r="J229" s="294"/>
    </row>
    <row r="230" spans="2:16" ht="15.75" hidden="1" customHeight="1" x14ac:dyDescent="0.25">
      <c r="B230" s="295"/>
      <c r="C230" s="278"/>
      <c r="D230" s="278"/>
      <c r="E230" s="292"/>
      <c r="F230" s="278"/>
      <c r="G230" s="292"/>
      <c r="H230" s="278"/>
      <c r="I230" s="292"/>
      <c r="J230" s="294"/>
    </row>
    <row r="231" spans="2:16" ht="15.75" hidden="1" customHeight="1" x14ac:dyDescent="0.25">
      <c r="B231" s="295"/>
      <c r="C231" s="278"/>
      <c r="D231" s="278"/>
      <c r="E231" s="303">
        <f>SUM(E226:E227)</f>
        <v>3417.39</v>
      </c>
      <c r="F231" s="278"/>
      <c r="G231" s="303">
        <f>SUM(G226:G227)</f>
        <v>8235.4599999999991</v>
      </c>
      <c r="H231" s="278"/>
      <c r="I231" s="292"/>
      <c r="J231" s="294"/>
      <c r="M231" s="290" t="s">
        <v>463</v>
      </c>
      <c r="N231" s="288">
        <f>SUM(N226:N230)</f>
        <v>29.171791619086044</v>
      </c>
    </row>
    <row r="232" spans="2:16" ht="15.75" hidden="1" customHeight="1" x14ac:dyDescent="0.25">
      <c r="C232" s="290" t="s">
        <v>264</v>
      </c>
      <c r="D232" s="295" t="s">
        <v>265</v>
      </c>
      <c r="E232" s="295" t="s">
        <v>266</v>
      </c>
      <c r="F232" s="295" t="s">
        <v>265</v>
      </c>
      <c r="G232" s="295" t="s">
        <v>267</v>
      </c>
      <c r="H232" s="295" t="s">
        <v>268</v>
      </c>
      <c r="I232" s="295" t="s">
        <v>269</v>
      </c>
      <c r="J232" s="295" t="s">
        <v>270</v>
      </c>
      <c r="K232" s="386" t="s">
        <v>462</v>
      </c>
      <c r="L232" s="386" t="s">
        <v>458</v>
      </c>
      <c r="M232" s="386"/>
      <c r="N232" s="386" t="s">
        <v>459</v>
      </c>
      <c r="O232" s="386" t="s">
        <v>460</v>
      </c>
      <c r="P232" s="386" t="s">
        <v>461</v>
      </c>
    </row>
    <row r="233" spans="2:16" ht="15.75" hidden="1" customHeight="1" x14ac:dyDescent="0.25">
      <c r="B233" s="295"/>
      <c r="C233" s="278" t="s">
        <v>290</v>
      </c>
      <c r="D233" s="278">
        <v>7</v>
      </c>
      <c r="E233" s="292">
        <v>314.60000000000002</v>
      </c>
      <c r="F233" s="278">
        <v>19</v>
      </c>
      <c r="G233" s="292">
        <v>3059.39</v>
      </c>
      <c r="H233" s="278">
        <f>D233+F233</f>
        <v>26</v>
      </c>
      <c r="I233" s="292">
        <f>E233+G233</f>
        <v>3373.99</v>
      </c>
      <c r="J233" s="294">
        <f>G233/I233</f>
        <v>0.90675728143829715</v>
      </c>
      <c r="K233" s="387">
        <f>(G233*0.005)*J233</f>
        <v>13.870620796297558</v>
      </c>
      <c r="L233" s="388">
        <v>0.15</v>
      </c>
      <c r="M233" s="387"/>
      <c r="N233" s="288">
        <f>K233-M233</f>
        <v>13.870620796297558</v>
      </c>
      <c r="O233" s="264"/>
    </row>
    <row r="234" spans="2:16" ht="15.75" hidden="1" customHeight="1" x14ac:dyDescent="0.25">
      <c r="B234" s="295"/>
      <c r="C234" s="278" t="s">
        <v>291</v>
      </c>
      <c r="D234" s="278">
        <v>2</v>
      </c>
      <c r="E234" s="292">
        <v>615.59</v>
      </c>
      <c r="F234" s="278">
        <v>20</v>
      </c>
      <c r="G234" s="292">
        <v>3326.73</v>
      </c>
      <c r="H234" s="278">
        <f>D234+F234</f>
        <v>22</v>
      </c>
      <c r="I234" s="292">
        <f>E234+G234</f>
        <v>3942.32</v>
      </c>
      <c r="J234" s="294">
        <f>G234/I234</f>
        <v>0.8438508289535096</v>
      </c>
      <c r="K234" s="387">
        <f>(G234*0.005)*J234</f>
        <v>14.036319341022544</v>
      </c>
      <c r="L234" s="388">
        <v>0.15</v>
      </c>
      <c r="M234" s="387"/>
      <c r="N234" s="288">
        <f t="shared" ref="N234" si="52">K234-M234</f>
        <v>14.036319341022544</v>
      </c>
    </row>
    <row r="235" spans="2:16" ht="15.75" hidden="1" customHeight="1" x14ac:dyDescent="0.25">
      <c r="B235" s="295" t="s">
        <v>275</v>
      </c>
      <c r="C235" s="278"/>
      <c r="D235" s="278"/>
      <c r="E235" s="292"/>
      <c r="F235" s="278"/>
      <c r="G235" s="292"/>
      <c r="H235" s="278"/>
      <c r="I235" s="292"/>
      <c r="J235" s="294"/>
    </row>
    <row r="236" spans="2:16" ht="15.75" hidden="1" customHeight="1" x14ac:dyDescent="0.25">
      <c r="B236" s="295"/>
      <c r="C236" s="278"/>
      <c r="D236" s="278"/>
      <c r="E236" s="292"/>
      <c r="F236" s="278"/>
      <c r="G236" s="292"/>
      <c r="H236" s="278"/>
      <c r="I236" s="292"/>
      <c r="J236" s="294"/>
    </row>
    <row r="237" spans="2:16" ht="15.75" hidden="1" customHeight="1" x14ac:dyDescent="0.25">
      <c r="B237" s="295"/>
      <c r="C237" s="278"/>
      <c r="D237" s="278"/>
      <c r="E237" s="292"/>
      <c r="F237" s="278"/>
      <c r="G237" s="292"/>
      <c r="H237" s="278"/>
      <c r="I237" s="292"/>
      <c r="J237" s="294"/>
    </row>
    <row r="238" spans="2:16" ht="15.75" hidden="1" customHeight="1" x14ac:dyDescent="0.25">
      <c r="B238" s="295"/>
      <c r="C238" s="278"/>
      <c r="D238" s="278"/>
      <c r="E238" s="303">
        <f>SUM(E233:E234)</f>
        <v>930.19</v>
      </c>
      <c r="F238" s="278"/>
      <c r="G238" s="303">
        <f>SUM(G233:G234)</f>
        <v>6386.12</v>
      </c>
      <c r="H238" s="278"/>
      <c r="I238" s="292"/>
      <c r="J238" s="294"/>
      <c r="M238" s="290" t="s">
        <v>463</v>
      </c>
      <c r="N238" s="288">
        <f>SUM(N233:N237)</f>
        <v>27.906940137320102</v>
      </c>
    </row>
    <row r="239" spans="2:16" ht="15.75" hidden="1" customHeight="1" x14ac:dyDescent="0.25">
      <c r="B239" s="278"/>
      <c r="C239" s="313" t="s">
        <v>264</v>
      </c>
      <c r="D239" s="314" t="s">
        <v>265</v>
      </c>
      <c r="E239" s="314" t="s">
        <v>266</v>
      </c>
      <c r="F239" s="314" t="s">
        <v>265</v>
      </c>
      <c r="G239" s="314" t="s">
        <v>267</v>
      </c>
      <c r="H239" s="314" t="s">
        <v>268</v>
      </c>
      <c r="I239" s="314" t="s">
        <v>269</v>
      </c>
      <c r="J239" s="314" t="s">
        <v>270</v>
      </c>
      <c r="K239" s="386" t="s">
        <v>462</v>
      </c>
      <c r="L239" s="386" t="s">
        <v>458</v>
      </c>
      <c r="M239" s="386"/>
      <c r="N239" s="386" t="s">
        <v>459</v>
      </c>
      <c r="O239" s="386" t="s">
        <v>460</v>
      </c>
      <c r="P239" s="386" t="s">
        <v>461</v>
      </c>
    </row>
    <row r="240" spans="2:16" ht="15.75" hidden="1" customHeight="1" x14ac:dyDescent="0.25">
      <c r="B240" s="293"/>
      <c r="C240" s="278" t="s">
        <v>290</v>
      </c>
      <c r="D240" s="278">
        <v>5</v>
      </c>
      <c r="E240" s="292">
        <v>1586.87</v>
      </c>
      <c r="F240" s="278">
        <v>21</v>
      </c>
      <c r="G240" s="292">
        <v>3723.95</v>
      </c>
      <c r="H240" s="278">
        <f>D240+F240</f>
        <v>26</v>
      </c>
      <c r="I240" s="292">
        <f>E240+G240</f>
        <v>5310.82</v>
      </c>
      <c r="J240" s="294">
        <f>G240/I240</f>
        <v>0.70120056789723617</v>
      </c>
      <c r="K240" s="387">
        <f>(G240*0.005)*J240</f>
        <v>13.056179274104563</v>
      </c>
      <c r="L240" s="388">
        <v>0.15</v>
      </c>
      <c r="M240" s="387"/>
      <c r="N240" s="288">
        <f>K240-M240</f>
        <v>13.056179274104563</v>
      </c>
      <c r="O240" s="264"/>
    </row>
    <row r="241" spans="2:16" ht="15.75" hidden="1" customHeight="1" x14ac:dyDescent="0.25">
      <c r="B241" s="295"/>
      <c r="C241" s="278" t="s">
        <v>291</v>
      </c>
      <c r="D241" s="278">
        <v>14</v>
      </c>
      <c r="E241" s="292">
        <v>2651.81</v>
      </c>
      <c r="F241" s="278">
        <v>47</v>
      </c>
      <c r="G241" s="292">
        <v>6425.74</v>
      </c>
      <c r="H241" s="278">
        <f>D241+F241</f>
        <v>61</v>
      </c>
      <c r="I241" s="292">
        <f>E241+G241</f>
        <v>9077.5499999999993</v>
      </c>
      <c r="J241" s="294">
        <f>G241/I241</f>
        <v>0.70787161734168369</v>
      </c>
      <c r="K241" s="387">
        <f>(G241*0.005)*J241</f>
        <v>22.742994832085753</v>
      </c>
      <c r="L241" s="388">
        <v>0.15</v>
      </c>
      <c r="M241" s="387"/>
      <c r="N241" s="288">
        <f t="shared" ref="N241" si="53">K241-M241</f>
        <v>22.742994832085753</v>
      </c>
    </row>
    <row r="242" spans="2:16" ht="15.75" hidden="1" customHeight="1" x14ac:dyDescent="0.25">
      <c r="B242" s="295"/>
      <c r="C242" s="278"/>
      <c r="D242" s="278"/>
      <c r="E242" s="292"/>
      <c r="F242" s="278"/>
      <c r="G242" s="292"/>
      <c r="H242" s="278"/>
      <c r="I242" s="292"/>
      <c r="J242" s="294"/>
    </row>
    <row r="243" spans="2:16" ht="15.75" hidden="1" customHeight="1" x14ac:dyDescent="0.25">
      <c r="B243" s="295" t="s">
        <v>276</v>
      </c>
      <c r="C243" s="278"/>
      <c r="D243" s="278"/>
      <c r="E243" s="292"/>
      <c r="F243" s="278"/>
      <c r="G243" s="292"/>
      <c r="H243" s="278"/>
      <c r="I243" s="292"/>
      <c r="J243" s="294"/>
    </row>
    <row r="244" spans="2:16" ht="15.75" hidden="1" customHeight="1" x14ac:dyDescent="0.25">
      <c r="B244" s="295"/>
      <c r="C244" s="278"/>
      <c r="D244" s="278"/>
      <c r="E244" s="304">
        <f>E240+E241</f>
        <v>4238.68</v>
      </c>
      <c r="F244" s="278"/>
      <c r="G244" s="304">
        <f>G240+G241</f>
        <v>10149.689999999999</v>
      </c>
      <c r="H244" s="278"/>
      <c r="I244" s="292"/>
      <c r="J244" s="294"/>
      <c r="M244" s="290" t="s">
        <v>463</v>
      </c>
      <c r="N244" s="288">
        <f>SUM(N240:N243)</f>
        <v>35.799174106190314</v>
      </c>
    </row>
    <row r="245" spans="2:16" ht="15.75" hidden="1" customHeight="1" x14ac:dyDescent="0.25">
      <c r="C245" s="313" t="s">
        <v>264</v>
      </c>
      <c r="D245" s="314" t="s">
        <v>265</v>
      </c>
      <c r="E245" s="314" t="s">
        <v>266</v>
      </c>
      <c r="F245" s="314" t="s">
        <v>265</v>
      </c>
      <c r="G245" s="314" t="s">
        <v>267</v>
      </c>
      <c r="H245" s="314" t="s">
        <v>268</v>
      </c>
      <c r="I245" s="314" t="s">
        <v>269</v>
      </c>
      <c r="J245" s="314" t="s">
        <v>270</v>
      </c>
      <c r="K245" s="386" t="s">
        <v>462</v>
      </c>
      <c r="L245" s="386" t="s">
        <v>458</v>
      </c>
      <c r="M245" s="386"/>
      <c r="N245" s="386" t="s">
        <v>459</v>
      </c>
      <c r="O245" s="386" t="s">
        <v>460</v>
      </c>
      <c r="P245" s="386" t="s">
        <v>461</v>
      </c>
    </row>
    <row r="246" spans="2:16" ht="15.75" hidden="1" customHeight="1" x14ac:dyDescent="0.25">
      <c r="B246" s="295"/>
      <c r="C246" s="278" t="s">
        <v>290</v>
      </c>
      <c r="D246" s="278">
        <v>19</v>
      </c>
      <c r="E246" s="292">
        <v>4181.25</v>
      </c>
      <c r="F246" s="278">
        <v>69</v>
      </c>
      <c r="G246" s="292">
        <v>7949.34</v>
      </c>
      <c r="H246" s="278">
        <f>D246+F246</f>
        <v>88</v>
      </c>
      <c r="I246" s="292">
        <f>E246+G246</f>
        <v>12130.59</v>
      </c>
      <c r="J246" s="294">
        <f>G246/I246</f>
        <v>0.6553135502889802</v>
      </c>
      <c r="K246" s="387">
        <f>(G246*0.005)*J246</f>
        <v>26.046551089271013</v>
      </c>
      <c r="L246" s="388">
        <v>0.15</v>
      </c>
      <c r="M246" s="387"/>
      <c r="N246" s="288">
        <f>K246-M246</f>
        <v>26.046551089271013</v>
      </c>
      <c r="O246" s="264"/>
    </row>
    <row r="247" spans="2:16" ht="15.75" hidden="1" customHeight="1" x14ac:dyDescent="0.25">
      <c r="B247" s="295"/>
      <c r="C247" s="278" t="s">
        <v>291</v>
      </c>
      <c r="D247" s="278">
        <v>14</v>
      </c>
      <c r="E247" s="292">
        <v>4150.78</v>
      </c>
      <c r="F247" s="278">
        <v>47</v>
      </c>
      <c r="G247" s="292">
        <v>11552.4</v>
      </c>
      <c r="H247" s="278">
        <f>D247+F247</f>
        <v>61</v>
      </c>
      <c r="I247" s="292">
        <f>E247+G247</f>
        <v>15703.18</v>
      </c>
      <c r="J247" s="294">
        <f>G247/I247</f>
        <v>0.73567264719630032</v>
      </c>
      <c r="K247" s="387">
        <f>(G247*0.005)*J247</f>
        <v>42.493923447352699</v>
      </c>
      <c r="L247" s="388">
        <v>0.15</v>
      </c>
      <c r="M247" s="387"/>
      <c r="N247" s="288">
        <f t="shared" ref="N247" si="54">K247-M247</f>
        <v>42.493923447352699</v>
      </c>
    </row>
    <row r="248" spans="2:16" ht="15.75" hidden="1" customHeight="1" x14ac:dyDescent="0.25">
      <c r="B248" s="295" t="s">
        <v>277</v>
      </c>
      <c r="C248" s="278"/>
      <c r="D248" s="278"/>
      <c r="E248" s="292"/>
      <c r="F248" s="278"/>
      <c r="G248" s="292"/>
      <c r="H248" s="278"/>
      <c r="I248" s="292"/>
      <c r="J248" s="294"/>
    </row>
    <row r="249" spans="2:16" ht="15.75" hidden="1" customHeight="1" x14ac:dyDescent="0.25">
      <c r="B249" s="295"/>
      <c r="C249" s="278"/>
      <c r="D249" s="278"/>
      <c r="E249" s="292"/>
      <c r="F249" s="278"/>
      <c r="G249" s="292"/>
      <c r="H249" s="278"/>
      <c r="I249" s="292"/>
      <c r="J249" s="294"/>
    </row>
    <row r="250" spans="2:16" ht="15.75" hidden="1" customHeight="1" x14ac:dyDescent="0.25">
      <c r="B250" s="295"/>
      <c r="C250" s="278"/>
      <c r="D250" s="278"/>
      <c r="E250" s="304">
        <f>E246+E247</f>
        <v>8332.0299999999988</v>
      </c>
      <c r="F250" s="278"/>
      <c r="G250" s="304">
        <f>G246+G247</f>
        <v>19501.739999999998</v>
      </c>
      <c r="H250" s="278"/>
      <c r="I250" s="292"/>
      <c r="J250" s="294"/>
      <c r="M250" s="290" t="s">
        <v>463</v>
      </c>
      <c r="N250" s="288">
        <f>SUM(N246:N249)</f>
        <v>68.540474536623719</v>
      </c>
    </row>
    <row r="251" spans="2:16" ht="15.75" hidden="1" customHeight="1" x14ac:dyDescent="0.25">
      <c r="B251" s="278"/>
      <c r="C251" s="313" t="s">
        <v>264</v>
      </c>
      <c r="D251" s="314" t="s">
        <v>265</v>
      </c>
      <c r="E251" s="314" t="s">
        <v>266</v>
      </c>
      <c r="F251" s="314" t="s">
        <v>265</v>
      </c>
      <c r="G251" s="314" t="s">
        <v>267</v>
      </c>
      <c r="H251" s="314" t="s">
        <v>268</v>
      </c>
      <c r="I251" s="314" t="s">
        <v>269</v>
      </c>
      <c r="J251" s="314" t="s">
        <v>270</v>
      </c>
      <c r="K251" s="386" t="s">
        <v>462</v>
      </c>
      <c r="L251" s="386" t="s">
        <v>458</v>
      </c>
      <c r="M251" s="386"/>
      <c r="N251" s="386" t="s">
        <v>459</v>
      </c>
      <c r="O251" s="386" t="s">
        <v>460</v>
      </c>
      <c r="P251" s="386" t="s">
        <v>461</v>
      </c>
    </row>
    <row r="252" spans="2:16" ht="15.75" hidden="1" customHeight="1" x14ac:dyDescent="0.25">
      <c r="B252" s="293"/>
      <c r="C252" s="278"/>
      <c r="D252" s="278"/>
      <c r="E252" s="292"/>
      <c r="F252" s="278"/>
      <c r="G252" s="292"/>
      <c r="H252" s="278"/>
      <c r="I252" s="292"/>
      <c r="J252" s="294"/>
      <c r="K252" s="387">
        <f>(G252*0.005)*J252</f>
        <v>0</v>
      </c>
      <c r="L252" s="388">
        <v>0.15</v>
      </c>
      <c r="M252" s="387"/>
      <c r="N252" s="288">
        <f>K252-M252</f>
        <v>0</v>
      </c>
      <c r="O252" s="264"/>
    </row>
    <row r="253" spans="2:16" ht="15.75" hidden="1" customHeight="1" x14ac:dyDescent="0.25">
      <c r="B253" s="295"/>
      <c r="C253" s="278" t="s">
        <v>290</v>
      </c>
      <c r="D253" s="278">
        <v>35</v>
      </c>
      <c r="E253" s="292">
        <v>5935.31</v>
      </c>
      <c r="F253" s="278">
        <v>104</v>
      </c>
      <c r="G253" s="292">
        <v>11681.58</v>
      </c>
      <c r="H253" s="278">
        <f>D253+F253</f>
        <v>139</v>
      </c>
      <c r="I253" s="292">
        <f>E253+G253</f>
        <v>17616.89</v>
      </c>
      <c r="J253" s="294">
        <f>G253/I253</f>
        <v>0.66308979621261188</v>
      </c>
      <c r="K253" s="387">
        <f>(G253*0.005)*J253</f>
        <v>38.729682508206615</v>
      </c>
      <c r="L253" s="388">
        <v>0.15</v>
      </c>
      <c r="M253" s="387"/>
      <c r="N253" s="288">
        <f t="shared" ref="N253" si="55">K253-M253</f>
        <v>38.729682508206615</v>
      </c>
    </row>
    <row r="254" spans="2:16" ht="15.75" hidden="1" customHeight="1" x14ac:dyDescent="0.25">
      <c r="B254" s="295"/>
      <c r="C254" s="278" t="s">
        <v>363</v>
      </c>
      <c r="D254" s="278">
        <v>25</v>
      </c>
      <c r="E254" s="292">
        <v>5870.85</v>
      </c>
      <c r="F254" s="278">
        <v>112</v>
      </c>
      <c r="G254" s="292">
        <v>11135.09</v>
      </c>
      <c r="H254" s="278">
        <f>D254+F254</f>
        <v>137</v>
      </c>
      <c r="I254" s="316">
        <f t="shared" ref="I254" si="56">E254+G254</f>
        <v>17005.940000000002</v>
      </c>
      <c r="J254" s="294">
        <f>G254/I254</f>
        <v>0.65477650750267247</v>
      </c>
      <c r="K254" s="387">
        <f>(G254*0.005)*J254</f>
        <v>36.45497670463967</v>
      </c>
      <c r="L254" s="388">
        <v>0.15</v>
      </c>
      <c r="M254" s="387"/>
      <c r="N254" s="288">
        <f>K254-M254</f>
        <v>36.45497670463967</v>
      </c>
      <c r="O254" s="264"/>
    </row>
    <row r="255" spans="2:16" ht="15.75" hidden="1" customHeight="1" x14ac:dyDescent="0.25">
      <c r="B255" s="295" t="s">
        <v>278</v>
      </c>
      <c r="C255" s="278" t="s">
        <v>364</v>
      </c>
      <c r="D255" s="278">
        <v>1</v>
      </c>
      <c r="E255" s="292">
        <v>256.2</v>
      </c>
      <c r="F255" s="278"/>
      <c r="G255" s="292"/>
      <c r="H255" s="278"/>
      <c r="I255" s="292"/>
      <c r="J255" s="294"/>
      <c r="K255" s="387">
        <f>(G255*0.005)*J255</f>
        <v>0</v>
      </c>
      <c r="L255" s="388">
        <v>0.15</v>
      </c>
      <c r="M255" s="387"/>
      <c r="N255" s="288">
        <f t="shared" ref="N255" si="57">K255-M255</f>
        <v>0</v>
      </c>
    </row>
    <row r="256" spans="2:16" ht="15.75" hidden="1" customHeight="1" x14ac:dyDescent="0.25">
      <c r="B256" s="295"/>
      <c r="C256" s="278"/>
      <c r="D256" s="278"/>
      <c r="E256" s="292"/>
      <c r="F256" s="278"/>
      <c r="G256" s="292"/>
      <c r="H256" s="278"/>
      <c r="I256" s="292"/>
      <c r="J256" s="294"/>
      <c r="M256" s="290" t="s">
        <v>463</v>
      </c>
      <c r="N256" s="288">
        <f>SUM(N252:N255)</f>
        <v>75.184659212846285</v>
      </c>
    </row>
    <row r="257" spans="2:16" ht="15.75" hidden="1" customHeight="1" x14ac:dyDescent="0.25">
      <c r="C257" s="313" t="s">
        <v>264</v>
      </c>
      <c r="D257" s="314" t="s">
        <v>265</v>
      </c>
      <c r="E257" s="314" t="s">
        <v>266</v>
      </c>
      <c r="F257" s="314" t="s">
        <v>265</v>
      </c>
      <c r="G257" s="314" t="s">
        <v>267</v>
      </c>
      <c r="H257" s="314" t="s">
        <v>268</v>
      </c>
      <c r="I257" s="314" t="s">
        <v>269</v>
      </c>
      <c r="J257" s="314" t="s">
        <v>270</v>
      </c>
      <c r="K257" s="386" t="s">
        <v>462</v>
      </c>
      <c r="L257" s="386" t="s">
        <v>458</v>
      </c>
      <c r="M257" s="386"/>
      <c r="N257" s="386" t="s">
        <v>459</v>
      </c>
      <c r="O257" s="386" t="s">
        <v>460</v>
      </c>
      <c r="P257" s="386" t="s">
        <v>461</v>
      </c>
    </row>
    <row r="258" spans="2:16" ht="15.75" hidden="1" customHeight="1" x14ac:dyDescent="0.25">
      <c r="B258" s="295"/>
      <c r="C258" s="278"/>
      <c r="D258" s="278"/>
      <c r="E258" s="292"/>
      <c r="F258" s="278"/>
      <c r="G258" s="292"/>
      <c r="H258" s="278"/>
      <c r="I258" s="292"/>
      <c r="J258" s="294"/>
      <c r="K258" s="387">
        <f>(G258*0.005)*J258</f>
        <v>0</v>
      </c>
      <c r="L258" s="388">
        <v>0.15</v>
      </c>
      <c r="M258" s="387"/>
      <c r="N258" s="288">
        <f>K258-M258</f>
        <v>0</v>
      </c>
      <c r="O258" s="264"/>
    </row>
    <row r="259" spans="2:16" ht="15.75" hidden="1" customHeight="1" x14ac:dyDescent="0.25">
      <c r="B259" s="295"/>
      <c r="C259" s="278" t="s">
        <v>291</v>
      </c>
      <c r="D259" s="278">
        <v>18</v>
      </c>
      <c r="E259" s="292">
        <v>5441.43</v>
      </c>
      <c r="F259" s="278">
        <v>87</v>
      </c>
      <c r="G259" s="292">
        <v>8728.4</v>
      </c>
      <c r="H259" s="278">
        <f t="shared" ref="H259:I261" si="58">D259+F259</f>
        <v>105</v>
      </c>
      <c r="I259" s="316">
        <f t="shared" si="58"/>
        <v>14169.83</v>
      </c>
      <c r="J259" s="294">
        <f>G259/I259</f>
        <v>0.61598480715717829</v>
      </c>
      <c r="K259" s="387">
        <f>(G259*0.005)*J259</f>
        <v>26.882808953953571</v>
      </c>
      <c r="L259" s="388">
        <v>0.15</v>
      </c>
      <c r="M259" s="387"/>
      <c r="N259" s="288">
        <f t="shared" ref="N259" si="59">K259-M259</f>
        <v>26.882808953953571</v>
      </c>
    </row>
    <row r="260" spans="2:16" ht="15.75" hidden="1" customHeight="1" x14ac:dyDescent="0.25">
      <c r="B260" s="295" t="s">
        <v>279</v>
      </c>
      <c r="C260" s="278" t="s">
        <v>290</v>
      </c>
      <c r="D260" s="278">
        <v>8</v>
      </c>
      <c r="E260" s="292">
        <v>3730.76</v>
      </c>
      <c r="F260" s="278">
        <v>41</v>
      </c>
      <c r="G260" s="292">
        <v>4188.1499999999996</v>
      </c>
      <c r="H260" s="278">
        <f t="shared" si="58"/>
        <v>49</v>
      </c>
      <c r="I260" s="316">
        <f t="shared" si="58"/>
        <v>7918.91</v>
      </c>
      <c r="J260" s="294">
        <f>G260/I260</f>
        <v>0.5288796059053581</v>
      </c>
      <c r="K260" s="387">
        <f>(G260*0.005)*J260</f>
        <v>11.075135607362627</v>
      </c>
      <c r="L260" s="388">
        <v>0.15</v>
      </c>
      <c r="M260" s="387"/>
      <c r="N260" s="288">
        <f>K260-M260</f>
        <v>11.075135607362627</v>
      </c>
      <c r="O260" s="264"/>
    </row>
    <row r="261" spans="2:16" ht="15.75" hidden="1" customHeight="1" x14ac:dyDescent="0.25">
      <c r="B261" s="295"/>
      <c r="C261" s="278" t="s">
        <v>434</v>
      </c>
      <c r="D261" s="278">
        <v>11</v>
      </c>
      <c r="E261" s="292">
        <v>1627</v>
      </c>
      <c r="F261" s="278">
        <v>69</v>
      </c>
      <c r="G261" s="292">
        <v>8183.66</v>
      </c>
      <c r="H261" s="278">
        <f t="shared" si="58"/>
        <v>80</v>
      </c>
      <c r="I261" s="316">
        <f t="shared" si="58"/>
        <v>9810.66</v>
      </c>
      <c r="J261" s="294">
        <f>G261/I261</f>
        <v>0.83415998515900047</v>
      </c>
      <c r="K261" s="387">
        <f>(G261*0.005)*J261</f>
        <v>34.132408520731531</v>
      </c>
      <c r="L261" s="388">
        <v>0.15</v>
      </c>
      <c r="M261" s="387"/>
      <c r="N261" s="288">
        <f t="shared" ref="N261" si="60">K261-M261</f>
        <v>34.132408520731531</v>
      </c>
    </row>
    <row r="262" spans="2:16" ht="15.75" hidden="1" customHeight="1" x14ac:dyDescent="0.25">
      <c r="B262" s="295"/>
      <c r="C262" s="278"/>
      <c r="D262" s="278"/>
      <c r="E262" s="292"/>
      <c r="F262" s="278"/>
      <c r="G262" s="292"/>
      <c r="H262" s="278"/>
      <c r="I262" s="292"/>
      <c r="J262" s="294"/>
      <c r="M262" s="290" t="s">
        <v>463</v>
      </c>
      <c r="N262" s="288">
        <f>SUM(N258:N261)</f>
        <v>72.090353082047727</v>
      </c>
    </row>
    <row r="263" spans="2:16" ht="15.75" hidden="1" customHeight="1" x14ac:dyDescent="0.25">
      <c r="B263" s="278"/>
      <c r="C263" s="313" t="s">
        <v>264</v>
      </c>
      <c r="D263" s="314" t="s">
        <v>265</v>
      </c>
      <c r="E263" s="314" t="s">
        <v>266</v>
      </c>
      <c r="F263" s="314" t="s">
        <v>265</v>
      </c>
      <c r="G263" s="314" t="s">
        <v>267</v>
      </c>
      <c r="H263" s="314" t="s">
        <v>268</v>
      </c>
      <c r="I263" s="314" t="s">
        <v>269</v>
      </c>
      <c r="J263" s="314" t="s">
        <v>270</v>
      </c>
      <c r="K263" s="386" t="s">
        <v>462</v>
      </c>
      <c r="L263" s="386" t="s">
        <v>458</v>
      </c>
      <c r="M263" s="386"/>
      <c r="N263" s="386" t="s">
        <v>459</v>
      </c>
      <c r="O263" s="386" t="s">
        <v>460</v>
      </c>
      <c r="P263" s="386" t="s">
        <v>461</v>
      </c>
    </row>
    <row r="264" spans="2:16" ht="15.75" hidden="1" customHeight="1" x14ac:dyDescent="0.25">
      <c r="B264" s="293"/>
      <c r="C264" s="278"/>
      <c r="D264" s="278"/>
      <c r="E264" s="292"/>
      <c r="F264" s="278"/>
      <c r="G264" s="292"/>
      <c r="H264" s="278"/>
      <c r="I264" s="292"/>
      <c r="J264" s="294"/>
      <c r="K264" s="387">
        <f>(G264*0.005)*J264</f>
        <v>0</v>
      </c>
      <c r="L264" s="388">
        <v>0.15</v>
      </c>
      <c r="M264" s="387"/>
      <c r="N264" s="288">
        <f>K264-M264</f>
        <v>0</v>
      </c>
      <c r="O264" s="264"/>
    </row>
    <row r="265" spans="2:16" ht="15.75" hidden="1" customHeight="1" x14ac:dyDescent="0.25">
      <c r="B265" s="295"/>
      <c r="C265" s="278" t="s">
        <v>291</v>
      </c>
      <c r="D265" s="278">
        <v>16</v>
      </c>
      <c r="E265" s="292">
        <v>3340.84</v>
      </c>
      <c r="F265" s="278">
        <v>82</v>
      </c>
      <c r="G265" s="292">
        <v>9116.2999999999993</v>
      </c>
      <c r="H265" s="278">
        <f t="shared" ref="H265:I267" si="61">D265+F265</f>
        <v>98</v>
      </c>
      <c r="I265" s="316">
        <f t="shared" si="61"/>
        <v>12457.14</v>
      </c>
      <c r="J265" s="294">
        <f>G265/I265</f>
        <v>0.7318132412415691</v>
      </c>
      <c r="K265" s="387">
        <f>(G265*0.005)*J265</f>
        <v>33.357145255652583</v>
      </c>
      <c r="L265" s="388">
        <v>0.15</v>
      </c>
      <c r="M265" s="387"/>
      <c r="N265" s="288">
        <f t="shared" ref="N265" si="62">K265-M265</f>
        <v>33.357145255652583</v>
      </c>
    </row>
    <row r="266" spans="2:16" ht="15.75" hidden="1" customHeight="1" x14ac:dyDescent="0.25">
      <c r="B266" s="295" t="s">
        <v>280</v>
      </c>
      <c r="C266" s="278" t="s">
        <v>290</v>
      </c>
      <c r="D266" s="278">
        <v>22</v>
      </c>
      <c r="E266" s="292">
        <v>3354.04</v>
      </c>
      <c r="F266" s="278">
        <v>81</v>
      </c>
      <c r="G266" s="292">
        <v>10200.36</v>
      </c>
      <c r="H266" s="278">
        <f t="shared" si="61"/>
        <v>103</v>
      </c>
      <c r="I266" s="316">
        <f t="shared" si="61"/>
        <v>13554.400000000001</v>
      </c>
      <c r="J266" s="294">
        <f>G266/I266</f>
        <v>0.75254972555037469</v>
      </c>
      <c r="K266" s="387">
        <f>(G266*0.005)*J266</f>
        <v>38.381390592575102</v>
      </c>
      <c r="L266" s="388">
        <v>0.15</v>
      </c>
      <c r="M266" s="387"/>
      <c r="N266" s="288">
        <f>K266-M266</f>
        <v>38.381390592575102</v>
      </c>
      <c r="O266" s="264"/>
    </row>
    <row r="267" spans="2:16" ht="15.75" hidden="1" customHeight="1" x14ac:dyDescent="0.25">
      <c r="B267" s="295"/>
      <c r="C267" s="278" t="s">
        <v>413</v>
      </c>
      <c r="D267" s="278">
        <v>16</v>
      </c>
      <c r="E267" s="292">
        <v>3001.23</v>
      </c>
      <c r="F267" s="278">
        <v>44</v>
      </c>
      <c r="G267" s="292">
        <v>4288.57</v>
      </c>
      <c r="H267" s="278">
        <f t="shared" si="61"/>
        <v>60</v>
      </c>
      <c r="I267" s="316">
        <f t="shared" si="61"/>
        <v>7289.7999999999993</v>
      </c>
      <c r="J267" s="294">
        <f>G267/I267</f>
        <v>0.5882973469779692</v>
      </c>
      <c r="K267" s="387">
        <f>(G267*0.005)*J267</f>
        <v>12.614771766646546</v>
      </c>
      <c r="L267" s="388">
        <v>0.15</v>
      </c>
      <c r="M267" s="387"/>
      <c r="N267" s="288">
        <f t="shared" ref="N267" si="63">K267-M267</f>
        <v>12.614771766646546</v>
      </c>
    </row>
    <row r="268" spans="2:16" ht="15.75" hidden="1" customHeight="1" x14ac:dyDescent="0.25">
      <c r="B268" s="295"/>
      <c r="C268" s="278"/>
      <c r="D268" s="278"/>
      <c r="E268" s="303">
        <f>SUM(E265:E267)</f>
        <v>9696.11</v>
      </c>
      <c r="F268" s="278"/>
      <c r="G268" s="303">
        <f>SUM(G265:G267)</f>
        <v>23605.23</v>
      </c>
      <c r="H268" s="278"/>
      <c r="I268" s="292"/>
      <c r="J268" s="294"/>
      <c r="M268" s="290" t="s">
        <v>463</v>
      </c>
      <c r="N268" s="288">
        <f>SUM(N264:N267)</f>
        <v>84.353307614874225</v>
      </c>
    </row>
    <row r="269" spans="2:16" ht="15.75" hidden="1" customHeight="1" x14ac:dyDescent="0.25">
      <c r="B269" s="23"/>
      <c r="C269" s="313" t="s">
        <v>264</v>
      </c>
      <c r="D269" s="314" t="s">
        <v>265</v>
      </c>
      <c r="E269" s="314" t="s">
        <v>266</v>
      </c>
      <c r="F269" s="314" t="s">
        <v>265</v>
      </c>
      <c r="G269" s="314" t="s">
        <v>267</v>
      </c>
      <c r="H269" s="314" t="s">
        <v>268</v>
      </c>
      <c r="I269" s="314" t="s">
        <v>269</v>
      </c>
      <c r="J269" s="314" t="s">
        <v>270</v>
      </c>
      <c r="K269" s="386" t="s">
        <v>462</v>
      </c>
      <c r="L269" s="386" t="s">
        <v>458</v>
      </c>
      <c r="M269" s="386"/>
      <c r="N269" s="386" t="s">
        <v>459</v>
      </c>
      <c r="O269" s="386" t="s">
        <v>460</v>
      </c>
      <c r="P269" s="386" t="s">
        <v>461</v>
      </c>
    </row>
    <row r="270" spans="2:16" ht="15.75" hidden="1" customHeight="1" x14ac:dyDescent="0.25">
      <c r="B270" s="295"/>
      <c r="C270" s="278" t="s">
        <v>291</v>
      </c>
      <c r="D270" s="278">
        <v>22</v>
      </c>
      <c r="E270" s="292">
        <v>4715.6899999999996</v>
      </c>
      <c r="F270" s="278">
        <v>82</v>
      </c>
      <c r="G270" s="292">
        <v>7624.83</v>
      </c>
      <c r="H270" s="278">
        <f>D270+F270</f>
        <v>104</v>
      </c>
      <c r="I270" s="292">
        <f>E270+G270</f>
        <v>12340.52</v>
      </c>
      <c r="J270" s="294">
        <f>G270/I270</f>
        <v>0.61786942527543409</v>
      </c>
      <c r="K270" s="387">
        <f>(G270*0.005)*J270</f>
        <v>23.555746649614441</v>
      </c>
      <c r="L270" s="388">
        <v>0.15</v>
      </c>
      <c r="M270" s="387"/>
      <c r="N270" s="288">
        <f>K270-M270</f>
        <v>23.555746649614441</v>
      </c>
      <c r="O270" s="264"/>
    </row>
    <row r="271" spans="2:16" ht="15.75" hidden="1" customHeight="1" x14ac:dyDescent="0.25">
      <c r="B271" s="295"/>
      <c r="C271" s="278" t="s">
        <v>290</v>
      </c>
      <c r="D271" s="278">
        <v>19</v>
      </c>
      <c r="E271" s="292">
        <v>5745.83</v>
      </c>
      <c r="F271" s="278">
        <v>55</v>
      </c>
      <c r="G271" s="292">
        <v>5878.98</v>
      </c>
      <c r="H271" s="278">
        <f t="shared" ref="H271:H272" si="64">D271+F271</f>
        <v>74</v>
      </c>
      <c r="I271" s="292">
        <f t="shared" ref="I271:I272" si="65">E271+G271</f>
        <v>11624.81</v>
      </c>
      <c r="J271" s="294">
        <f t="shared" ref="J271:J272" si="66">G271/I271</f>
        <v>0.50572697532260735</v>
      </c>
      <c r="K271" s="387">
        <f>(G271*0.005)*J271</f>
        <v>14.865793866910511</v>
      </c>
      <c r="L271" s="388">
        <v>0.15</v>
      </c>
      <c r="M271" s="387"/>
      <c r="N271" s="288">
        <f t="shared" ref="N271" si="67">K271-M271</f>
        <v>14.865793866910511</v>
      </c>
    </row>
    <row r="272" spans="2:16" ht="15.75" hidden="1" customHeight="1" x14ac:dyDescent="0.25">
      <c r="B272" s="295" t="s">
        <v>281</v>
      </c>
      <c r="C272" s="278" t="s">
        <v>434</v>
      </c>
      <c r="D272" s="278">
        <v>1</v>
      </c>
      <c r="E272" s="292">
        <v>545.79999999999995</v>
      </c>
      <c r="F272" s="278">
        <v>3</v>
      </c>
      <c r="G272" s="292">
        <v>454.78</v>
      </c>
      <c r="H272" s="278">
        <f t="shared" si="64"/>
        <v>4</v>
      </c>
      <c r="I272" s="292">
        <f t="shared" si="65"/>
        <v>1000.5799999999999</v>
      </c>
      <c r="J272" s="294">
        <f t="shared" si="66"/>
        <v>0.45451638049931042</v>
      </c>
      <c r="K272" s="387">
        <f>(G272*0.005)*J272</f>
        <v>1.0335247976173818</v>
      </c>
      <c r="L272" s="388">
        <v>0.15</v>
      </c>
      <c r="M272" s="387"/>
      <c r="N272" s="288">
        <f>K272-M272</f>
        <v>1.0335247976173818</v>
      </c>
      <c r="O272" s="264"/>
    </row>
    <row r="273" spans="2:20" ht="15.75" hidden="1" customHeight="1" x14ac:dyDescent="0.25">
      <c r="B273" s="295"/>
      <c r="C273" s="278"/>
      <c r="D273" s="278"/>
      <c r="E273" s="292"/>
      <c r="F273" s="278"/>
      <c r="G273" s="292"/>
      <c r="H273" s="278"/>
      <c r="I273" s="292"/>
      <c r="J273" s="294"/>
      <c r="K273" s="387">
        <f>(G273*0.005)*J273</f>
        <v>0</v>
      </c>
      <c r="L273" s="388">
        <v>0.15</v>
      </c>
      <c r="M273" s="387"/>
      <c r="N273" s="288">
        <f t="shared" ref="N273" si="68">K273-M273</f>
        <v>0</v>
      </c>
    </row>
    <row r="274" spans="2:20" ht="15.75" hidden="1" customHeight="1" x14ac:dyDescent="0.25">
      <c r="B274" s="295"/>
      <c r="C274" s="278"/>
      <c r="D274" s="278"/>
      <c r="E274" s="303">
        <f>SUM(E265:E270)</f>
        <v>24107.91</v>
      </c>
      <c r="F274" s="278"/>
      <c r="G274" s="303">
        <f>SUM(G265:G270)</f>
        <v>54835.29</v>
      </c>
      <c r="H274" s="278"/>
      <c r="I274" s="292"/>
      <c r="J274" s="294"/>
      <c r="M274" s="290" t="s">
        <v>463</v>
      </c>
      <c r="N274" s="288">
        <f>SUM(N270:N273)</f>
        <v>39.455065314142338</v>
      </c>
    </row>
    <row r="275" spans="2:20" ht="15.75" hidden="1" customHeight="1" x14ac:dyDescent="0.25">
      <c r="B275" s="278"/>
      <c r="C275" s="313" t="s">
        <v>264</v>
      </c>
      <c r="D275" s="314" t="s">
        <v>265</v>
      </c>
      <c r="E275" s="314" t="s">
        <v>266</v>
      </c>
      <c r="F275" s="314" t="s">
        <v>265</v>
      </c>
      <c r="G275" s="314" t="s">
        <v>267</v>
      </c>
      <c r="H275" s="314" t="s">
        <v>268</v>
      </c>
      <c r="I275" s="314" t="s">
        <v>269</v>
      </c>
      <c r="J275" s="314" t="s">
        <v>270</v>
      </c>
      <c r="K275" s="386" t="s">
        <v>462</v>
      </c>
      <c r="L275" s="386" t="s">
        <v>458</v>
      </c>
      <c r="M275" s="386"/>
      <c r="N275" s="386" t="s">
        <v>459</v>
      </c>
      <c r="O275" s="386" t="s">
        <v>460</v>
      </c>
      <c r="P275" s="386" t="s">
        <v>461</v>
      </c>
    </row>
    <row r="276" spans="2:20" ht="15.75" hidden="1" customHeight="1" x14ac:dyDescent="0.25">
      <c r="B276" s="293"/>
      <c r="C276" s="278" t="s">
        <v>291</v>
      </c>
      <c r="D276" s="278">
        <v>10</v>
      </c>
      <c r="E276" s="292">
        <v>1818.73</v>
      </c>
      <c r="F276" s="278">
        <v>45</v>
      </c>
      <c r="G276" s="292">
        <v>5171.7700000000004</v>
      </c>
      <c r="H276" s="278">
        <f t="shared" ref="H276:I278" si="69">D276+F276</f>
        <v>55</v>
      </c>
      <c r="I276" s="292">
        <f t="shared" si="69"/>
        <v>6990.5</v>
      </c>
      <c r="J276" s="294">
        <f>G276/I276</f>
        <v>0.73982833845933771</v>
      </c>
      <c r="K276" s="387">
        <f>(G276*0.005)*J276</f>
        <v>19.131110029969246</v>
      </c>
      <c r="L276" s="388">
        <v>0.15</v>
      </c>
      <c r="M276" s="387"/>
      <c r="N276" s="288">
        <f>K276-M276</f>
        <v>19.131110029969246</v>
      </c>
      <c r="O276" s="264"/>
    </row>
    <row r="277" spans="2:20" ht="15.75" hidden="1" customHeight="1" x14ac:dyDescent="0.25">
      <c r="B277" s="295"/>
      <c r="C277" s="278" t="s">
        <v>290</v>
      </c>
      <c r="D277" s="278">
        <v>9</v>
      </c>
      <c r="E277" s="292">
        <v>2363.56</v>
      </c>
      <c r="F277" s="278">
        <v>20</v>
      </c>
      <c r="G277" s="292">
        <v>2392.5700000000002</v>
      </c>
      <c r="H277" s="278">
        <f t="shared" si="69"/>
        <v>29</v>
      </c>
      <c r="I277" s="292">
        <f t="shared" si="69"/>
        <v>4756.13</v>
      </c>
      <c r="J277" s="294">
        <f>G277/I277</f>
        <v>0.50304974842992101</v>
      </c>
      <c r="K277" s="387">
        <f>(G277*0.005)*J277</f>
        <v>6.0179086830048814</v>
      </c>
      <c r="L277" s="388">
        <v>0.15</v>
      </c>
      <c r="M277" s="387"/>
      <c r="N277" s="288">
        <f t="shared" ref="N277" si="70">K277-M277</f>
        <v>6.0179086830048814</v>
      </c>
    </row>
    <row r="278" spans="2:20" ht="15.75" hidden="1" customHeight="1" x14ac:dyDescent="0.25">
      <c r="B278" s="295" t="s">
        <v>282</v>
      </c>
      <c r="C278" s="278" t="s">
        <v>434</v>
      </c>
      <c r="D278" s="278">
        <v>4</v>
      </c>
      <c r="E278" s="292">
        <v>841.72</v>
      </c>
      <c r="F278" s="278">
        <v>46</v>
      </c>
      <c r="G278" s="292">
        <v>4930.26</v>
      </c>
      <c r="H278" s="278">
        <f t="shared" si="69"/>
        <v>50</v>
      </c>
      <c r="I278" s="292">
        <f t="shared" si="69"/>
        <v>5771.9800000000005</v>
      </c>
      <c r="J278" s="294">
        <f>G278/I278</f>
        <v>0.8541713588751173</v>
      </c>
      <c r="K278" s="387">
        <f>(G278*0.005)*J278</f>
        <v>21.056434419038183</v>
      </c>
      <c r="L278" s="388">
        <v>0.15</v>
      </c>
      <c r="M278" s="387"/>
      <c r="N278" s="288">
        <f>K278-M278</f>
        <v>21.056434419038183</v>
      </c>
      <c r="O278" s="264"/>
    </row>
    <row r="279" spans="2:20" ht="15.75" hidden="1" customHeight="1" x14ac:dyDescent="0.25">
      <c r="B279" s="295"/>
      <c r="C279" s="278"/>
      <c r="D279" s="278"/>
      <c r="E279" s="292"/>
      <c r="F279" s="278"/>
      <c r="G279" s="292"/>
      <c r="H279" s="278"/>
      <c r="I279" s="292"/>
      <c r="J279" s="294"/>
      <c r="K279" s="387">
        <f>(G279*0.005)*J279</f>
        <v>0</v>
      </c>
      <c r="L279" s="388">
        <v>0.15</v>
      </c>
      <c r="M279" s="387"/>
      <c r="N279" s="288">
        <f t="shared" ref="N279" si="71">K279-M279</f>
        <v>0</v>
      </c>
    </row>
    <row r="280" spans="2:20" ht="15.75" hidden="1" customHeight="1" x14ac:dyDescent="0.25">
      <c r="B280" s="295"/>
      <c r="C280" s="278"/>
      <c r="D280" s="278"/>
      <c r="E280" s="292"/>
      <c r="F280" s="278"/>
      <c r="G280" s="292"/>
      <c r="H280" s="278"/>
      <c r="I280" s="292"/>
      <c r="J280" s="294"/>
      <c r="M280" s="290" t="s">
        <v>463</v>
      </c>
      <c r="N280" s="288">
        <f>SUM(N276:N279)</f>
        <v>46.205453132012309</v>
      </c>
    </row>
    <row r="281" spans="2:20" ht="15.75" hidden="1" customHeight="1" x14ac:dyDescent="0.25">
      <c r="C281" s="291"/>
      <c r="D281" s="291"/>
      <c r="E281" s="291"/>
      <c r="F281" s="291"/>
      <c r="M281" s="290" t="s">
        <v>467</v>
      </c>
      <c r="N281" s="395">
        <f>SUM(N210+N217+N224+N231+N238+N244+N250+N256+N262+N268+N274+N280)</f>
        <v>574.74160777641282</v>
      </c>
    </row>
    <row r="282" spans="2:20" ht="15.75" hidden="1" customHeight="1" x14ac:dyDescent="0.25">
      <c r="B282" s="23"/>
      <c r="C282" s="184"/>
      <c r="D282" s="36"/>
      <c r="E282" s="36"/>
    </row>
    <row r="283" spans="2:20" ht="15.75" customHeight="1" x14ac:dyDescent="0.25">
      <c r="B283" s="23"/>
      <c r="C283" s="184"/>
      <c r="D283" s="36"/>
      <c r="E283" s="36"/>
    </row>
    <row r="284" spans="2:20" ht="15.75" customHeight="1" x14ac:dyDescent="0.25">
      <c r="B284" s="381">
        <v>2026</v>
      </c>
      <c r="C284" s="2" t="s">
        <v>0</v>
      </c>
      <c r="D284" s="2" t="s">
        <v>1</v>
      </c>
      <c r="E284" s="3" t="s">
        <v>2</v>
      </c>
      <c r="F284" s="2" t="s">
        <v>3</v>
      </c>
      <c r="G284" s="3" t="s">
        <v>4</v>
      </c>
      <c r="H284" s="2" t="s">
        <v>5</v>
      </c>
      <c r="I284" s="2" t="s">
        <v>6</v>
      </c>
      <c r="J284" s="3" t="s">
        <v>7</v>
      </c>
      <c r="K284" s="3" t="s">
        <v>8</v>
      </c>
      <c r="L284" s="3" t="s">
        <v>9</v>
      </c>
      <c r="M284" s="3" t="s">
        <v>10</v>
      </c>
      <c r="N284" s="2" t="s">
        <v>11</v>
      </c>
      <c r="O284" s="42"/>
      <c r="P284" s="42"/>
      <c r="Q284" s="43"/>
      <c r="R284" s="4"/>
      <c r="T284" s="44"/>
    </row>
    <row r="285" spans="2:20" ht="19.5" customHeight="1" x14ac:dyDescent="0.3">
      <c r="B285" s="382" t="s">
        <v>455</v>
      </c>
      <c r="C285" s="6">
        <v>40000</v>
      </c>
      <c r="D285" s="6">
        <v>38000</v>
      </c>
      <c r="E285" s="6">
        <v>41000</v>
      </c>
      <c r="F285" s="6">
        <v>41000</v>
      </c>
      <c r="G285" s="6">
        <v>37000</v>
      </c>
      <c r="H285" s="6">
        <v>30000</v>
      </c>
      <c r="I285" s="6">
        <f>I159*1.15</f>
        <v>45022.339</v>
      </c>
      <c r="J285" s="6">
        <f t="shared" ref="J285:N285" si="72">J159*1.15</f>
        <v>42371.404999999992</v>
      </c>
      <c r="K285" s="6">
        <f t="shared" si="72"/>
        <v>51246.253999999994</v>
      </c>
      <c r="L285" s="6">
        <f t="shared" si="72"/>
        <v>49918.245499999997</v>
      </c>
      <c r="M285" s="6">
        <f t="shared" si="72"/>
        <v>47248.738999999994</v>
      </c>
      <c r="N285" s="6">
        <f t="shared" si="72"/>
        <v>19869.610299999997</v>
      </c>
      <c r="O285" s="75">
        <f>SUM(C285:N285)</f>
        <v>482676.59279999998</v>
      </c>
      <c r="P285" s="13"/>
      <c r="Q285" s="13"/>
      <c r="R285" s="12"/>
      <c r="T285" s="36"/>
    </row>
    <row r="286" spans="2:20" ht="19.5" customHeight="1" x14ac:dyDescent="0.3">
      <c r="B286" s="382"/>
      <c r="C286" s="380">
        <f t="shared" ref="C286:N286" si="73">(C285/C159)-1</f>
        <v>0.44381450015683432</v>
      </c>
      <c r="D286" s="380">
        <f t="shared" si="73"/>
        <v>0.60529171741289511</v>
      </c>
      <c r="E286" s="380">
        <f t="shared" si="73"/>
        <v>0.31784236419634437</v>
      </c>
      <c r="F286" s="380">
        <f t="shared" si="73"/>
        <v>0.3768433749990765</v>
      </c>
      <c r="G286" s="380">
        <f t="shared" si="73"/>
        <v>1.4020124969569099</v>
      </c>
      <c r="H286" s="380">
        <f t="shared" si="73"/>
        <v>0.41292563207228139</v>
      </c>
      <c r="I286" s="380">
        <f t="shared" si="73"/>
        <v>0.14999999999999991</v>
      </c>
      <c r="J286" s="380">
        <f t="shared" si="73"/>
        <v>0.14999999999999991</v>
      </c>
      <c r="K286" s="380">
        <f t="shared" si="73"/>
        <v>0.14999999999999991</v>
      </c>
      <c r="L286" s="380">
        <f t="shared" si="73"/>
        <v>0.14999999999999991</v>
      </c>
      <c r="M286" s="380">
        <f t="shared" si="73"/>
        <v>0.14999999999999991</v>
      </c>
      <c r="N286" s="380">
        <f t="shared" si="73"/>
        <v>0.14999999999999991</v>
      </c>
      <c r="O286" s="75"/>
      <c r="P286" s="13"/>
      <c r="Q286" s="13"/>
      <c r="R286" s="12"/>
      <c r="T286" s="36"/>
    </row>
    <row r="287" spans="2:20" ht="15.75" customHeight="1" x14ac:dyDescent="0.25">
      <c r="B287" s="383" t="s">
        <v>13</v>
      </c>
      <c r="C287" s="46">
        <v>17629.52</v>
      </c>
      <c r="D287" s="46"/>
      <c r="E287" s="46"/>
      <c r="F287" s="46"/>
      <c r="G287" s="46"/>
      <c r="H287" s="46"/>
      <c r="I287" s="46"/>
      <c r="J287" s="46"/>
      <c r="K287" s="4"/>
      <c r="L287" s="4"/>
      <c r="M287" s="4"/>
      <c r="N287" s="4"/>
      <c r="P287" s="33"/>
      <c r="Q287" s="33"/>
    </row>
    <row r="288" spans="2:20" ht="15.75" customHeight="1" x14ac:dyDescent="0.25">
      <c r="B288" s="384" t="s">
        <v>14</v>
      </c>
      <c r="C288" s="48">
        <v>9967</v>
      </c>
      <c r="D288" s="48"/>
      <c r="E288" s="48"/>
      <c r="F288" s="48"/>
      <c r="G288" s="46"/>
      <c r="H288" s="46"/>
      <c r="I288" s="46"/>
      <c r="J288" s="46"/>
      <c r="K288" s="4"/>
      <c r="L288" s="12"/>
      <c r="M288" s="12"/>
      <c r="N288" s="12"/>
      <c r="P288" s="41"/>
      <c r="Q288" s="41"/>
      <c r="R288" s="12"/>
    </row>
    <row r="289" spans="2:17" ht="16.5" customHeight="1" x14ac:dyDescent="0.3">
      <c r="B289" s="271" t="s">
        <v>456</v>
      </c>
      <c r="C289" s="7">
        <f>SUM(C287:C288)</f>
        <v>27596.52</v>
      </c>
      <c r="D289" s="7">
        <f t="shared" ref="D289:P289" si="74">SUM(D287:D288)</f>
        <v>0</v>
      </c>
      <c r="E289" s="7">
        <f t="shared" si="74"/>
        <v>0</v>
      </c>
      <c r="F289" s="7">
        <f t="shared" si="74"/>
        <v>0</v>
      </c>
      <c r="G289" s="7">
        <f t="shared" si="74"/>
        <v>0</v>
      </c>
      <c r="H289" s="7">
        <f t="shared" si="74"/>
        <v>0</v>
      </c>
      <c r="I289" s="7">
        <f t="shared" si="74"/>
        <v>0</v>
      </c>
      <c r="J289" s="7">
        <f t="shared" si="74"/>
        <v>0</v>
      </c>
      <c r="K289" s="7">
        <f t="shared" si="74"/>
        <v>0</v>
      </c>
      <c r="L289" s="7">
        <f t="shared" si="74"/>
        <v>0</v>
      </c>
      <c r="M289" s="7">
        <f t="shared" si="74"/>
        <v>0</v>
      </c>
      <c r="N289" s="7">
        <f t="shared" si="74"/>
        <v>0</v>
      </c>
      <c r="O289" s="7">
        <f t="shared" si="74"/>
        <v>0</v>
      </c>
      <c r="P289" s="7">
        <f t="shared" si="74"/>
        <v>0</v>
      </c>
      <c r="Q289" s="31"/>
    </row>
    <row r="290" spans="2:17" ht="15.75" customHeight="1" x14ac:dyDescent="0.25">
      <c r="B290" s="14" t="s">
        <v>111</v>
      </c>
      <c r="C290" s="116">
        <f>(C289/C285)-1</f>
        <v>-0.310087</v>
      </c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22"/>
      <c r="P290" s="22"/>
      <c r="Q290" s="22"/>
    </row>
    <row r="291" spans="2:17" ht="15.75" customHeight="1" x14ac:dyDescent="0.25">
      <c r="B291" s="14" t="s">
        <v>17</v>
      </c>
      <c r="C291" s="85">
        <f>(C289/C159)-1</f>
        <v>-3.8936067532978624E-3</v>
      </c>
      <c r="D291" s="85"/>
      <c r="E291" s="85"/>
      <c r="F291" s="85"/>
      <c r="G291" s="120"/>
      <c r="H291" s="120"/>
      <c r="I291" s="192"/>
      <c r="J291" s="192"/>
      <c r="K291" s="192"/>
      <c r="L291" s="192"/>
      <c r="M291" s="192"/>
      <c r="N291" s="192"/>
      <c r="O291" s="43"/>
      <c r="P291" s="43"/>
      <c r="Q291" s="43"/>
    </row>
    <row r="292" spans="2:17" ht="15.75" customHeight="1" x14ac:dyDescent="0.25">
      <c r="B292" s="14"/>
      <c r="C292" s="17"/>
      <c r="D292" s="17"/>
      <c r="E292" s="17"/>
      <c r="F292" s="17"/>
      <c r="G292" s="17"/>
      <c r="H292" s="17"/>
      <c r="I292" s="17"/>
      <c r="J292" s="17"/>
      <c r="O292" s="43"/>
      <c r="P292" s="43"/>
      <c r="Q292" s="43"/>
    </row>
    <row r="293" spans="2:17" ht="15.75" customHeight="1" x14ac:dyDescent="0.25">
      <c r="B293" s="14" t="s">
        <v>48</v>
      </c>
      <c r="C293" s="269"/>
      <c r="D293" s="269"/>
      <c r="E293" s="269"/>
      <c r="F293" s="269"/>
      <c r="G293" s="269"/>
      <c r="H293" s="269"/>
      <c r="I293" s="269"/>
      <c r="J293" s="269"/>
      <c r="K293" s="269"/>
      <c r="L293" s="269"/>
      <c r="M293" s="269"/>
      <c r="N293" s="269"/>
      <c r="O293" s="269">
        <f>O289/O285</f>
        <v>0</v>
      </c>
      <c r="P293" s="43"/>
      <c r="Q293" s="43"/>
    </row>
    <row r="294" spans="2:17" ht="18.75" customHeight="1" x14ac:dyDescent="0.3">
      <c r="B294" s="5" t="s">
        <v>34</v>
      </c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P294" s="9"/>
    </row>
    <row r="295" spans="2:17" ht="15.75" customHeight="1" x14ac:dyDescent="0.25">
      <c r="B295" s="14" t="s">
        <v>34</v>
      </c>
      <c r="C295" s="18">
        <v>28364.66</v>
      </c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P295" s="9"/>
    </row>
    <row r="296" spans="2:17" ht="15.75" customHeight="1" x14ac:dyDescent="0.25">
      <c r="B296" s="14" t="s">
        <v>36</v>
      </c>
      <c r="C296" s="18">
        <v>16709.419999999998</v>
      </c>
      <c r="D296" s="18"/>
      <c r="E296" s="18"/>
      <c r="F296" s="186"/>
      <c r="G296" s="186"/>
      <c r="H296" s="18"/>
      <c r="I296" s="18"/>
      <c r="J296" s="18"/>
      <c r="K296" s="18"/>
      <c r="L296" s="18"/>
      <c r="M296" s="18"/>
      <c r="N296" s="18"/>
      <c r="P296" s="9"/>
    </row>
    <row r="297" spans="2:17" s="83" customFormat="1" ht="15.75" customHeight="1" x14ac:dyDescent="0.25">
      <c r="B297" s="82" t="s">
        <v>37</v>
      </c>
      <c r="C297" s="84">
        <v>11655.24</v>
      </c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P297" s="77"/>
    </row>
    <row r="298" spans="2:17" ht="15.75" customHeight="1" x14ac:dyDescent="0.25">
      <c r="B298" s="14" t="s">
        <v>38</v>
      </c>
      <c r="C298" s="85"/>
      <c r="D298" s="85"/>
      <c r="E298" s="85"/>
      <c r="F298" s="85"/>
      <c r="G298" s="85"/>
      <c r="H298" s="85"/>
      <c r="I298" s="339"/>
      <c r="J298" s="85"/>
      <c r="K298" s="85"/>
      <c r="L298" s="85"/>
      <c r="M298" s="85"/>
      <c r="N298" s="85"/>
      <c r="P298" s="9"/>
    </row>
    <row r="299" spans="2:17" s="122" customFormat="1" ht="15.75" customHeight="1" x14ac:dyDescent="0.25">
      <c r="B299" s="126" t="s">
        <v>42</v>
      </c>
      <c r="C299" s="368"/>
      <c r="D299" s="369"/>
      <c r="E299" s="370"/>
      <c r="F299" s="362"/>
      <c r="G299" s="362"/>
      <c r="H299" s="362"/>
      <c r="I299" s="362"/>
      <c r="J299" s="362"/>
      <c r="K299" s="362"/>
      <c r="L299" s="178"/>
      <c r="M299" s="178"/>
      <c r="N299" s="121"/>
    </row>
    <row r="300" spans="2:17" s="129" customFormat="1" ht="15.75" customHeight="1" x14ac:dyDescent="0.25">
      <c r="B300" s="82" t="s">
        <v>37</v>
      </c>
      <c r="C300" s="363"/>
      <c r="D300" s="363"/>
      <c r="E300" s="363"/>
      <c r="F300" s="364"/>
      <c r="G300" s="364"/>
      <c r="H300" s="364"/>
      <c r="I300" s="364"/>
      <c r="J300" s="364"/>
      <c r="K300" s="364"/>
      <c r="L300" s="179"/>
      <c r="M300" s="180"/>
      <c r="N300" s="130"/>
    </row>
    <row r="301" spans="2:17" s="129" customFormat="1" ht="15.75" customHeight="1" x14ac:dyDescent="0.25">
      <c r="B301" s="82"/>
      <c r="C301" s="206"/>
      <c r="D301" s="206"/>
      <c r="E301" s="206"/>
      <c r="F301" s="130"/>
      <c r="G301" s="130"/>
      <c r="H301" s="130"/>
      <c r="I301" s="130"/>
      <c r="J301" s="130"/>
      <c r="K301" s="130"/>
      <c r="L301" s="161"/>
      <c r="M301" s="164"/>
      <c r="N301" s="130"/>
    </row>
    <row r="302" spans="2:17" s="337" customFormat="1" ht="15.75" customHeight="1" x14ac:dyDescent="0.25">
      <c r="B302" s="334" t="s">
        <v>43</v>
      </c>
      <c r="C302" s="335">
        <f>C289+C297</f>
        <v>39251.760000000002</v>
      </c>
      <c r="D302" s="335"/>
      <c r="E302" s="336"/>
      <c r="F302" s="335"/>
      <c r="G302" s="335"/>
      <c r="H302" s="335"/>
      <c r="I302" s="335"/>
      <c r="J302" s="335"/>
      <c r="K302" s="335"/>
      <c r="L302" s="335"/>
      <c r="M302" s="335"/>
      <c r="N302" s="335"/>
      <c r="P302" s="338"/>
    </row>
    <row r="303" spans="2:17" ht="15.75" customHeight="1" x14ac:dyDescent="0.25">
      <c r="B303" s="14"/>
      <c r="C303" s="181"/>
      <c r="D303" s="181"/>
      <c r="E303" s="181"/>
      <c r="F303" s="181"/>
      <c r="G303" s="181"/>
      <c r="H303" s="181"/>
      <c r="I303" s="181"/>
      <c r="J303" s="181"/>
      <c r="K303" s="181"/>
      <c r="L303" s="181"/>
      <c r="M303" s="181"/>
      <c r="N303" s="85"/>
      <c r="P303" s="9"/>
    </row>
    <row r="304" spans="2:17" s="403" customFormat="1" ht="15.75" customHeight="1" x14ac:dyDescent="0.25">
      <c r="B304" s="401" t="s">
        <v>641</v>
      </c>
      <c r="C304" s="402"/>
      <c r="D304" s="402"/>
      <c r="E304" s="402"/>
      <c r="F304" s="402"/>
      <c r="G304" s="402"/>
      <c r="H304" s="402"/>
      <c r="I304" s="402"/>
      <c r="J304" s="402"/>
      <c r="K304" s="402"/>
      <c r="L304" s="402"/>
      <c r="M304" s="402"/>
      <c r="N304" s="402"/>
      <c r="P304" s="404"/>
    </row>
    <row r="305" spans="2:17" ht="15.75" customHeight="1" x14ac:dyDescent="0.25">
      <c r="B305" s="14"/>
      <c r="C305" s="436"/>
      <c r="D305" s="356"/>
      <c r="E305" s="356"/>
      <c r="F305" s="356"/>
      <c r="G305" s="356"/>
      <c r="H305" s="356"/>
      <c r="I305" s="356"/>
      <c r="J305" s="356"/>
      <c r="K305" s="356"/>
      <c r="L305" s="181"/>
      <c r="M305" s="181"/>
      <c r="N305" s="85"/>
      <c r="P305" s="9"/>
    </row>
    <row r="306" spans="2:17" ht="15.75" customHeight="1" x14ac:dyDescent="0.25">
      <c r="B306" s="14" t="s">
        <v>640</v>
      </c>
      <c r="C306" s="436"/>
      <c r="D306" s="356"/>
      <c r="E306" s="356"/>
      <c r="F306" s="356"/>
      <c r="G306" s="356"/>
      <c r="H306" s="356"/>
      <c r="I306" s="356"/>
      <c r="J306" s="356"/>
      <c r="K306" s="356"/>
      <c r="L306" s="181"/>
      <c r="M306" s="181"/>
      <c r="N306" s="85"/>
      <c r="P306" s="9"/>
    </row>
    <row r="307" spans="2:17" ht="15.75" customHeight="1" x14ac:dyDescent="0.25">
      <c r="B307" s="14"/>
      <c r="C307" s="356"/>
      <c r="D307" s="356"/>
      <c r="E307" s="356"/>
      <c r="F307" s="356"/>
      <c r="G307" s="356"/>
      <c r="H307" s="356"/>
      <c r="I307" s="356"/>
      <c r="J307" s="356"/>
      <c r="K307" s="356"/>
      <c r="L307" s="181"/>
      <c r="M307" s="181"/>
      <c r="N307" s="85"/>
      <c r="P307" s="9"/>
    </row>
    <row r="308" spans="2:17" ht="15.75" customHeight="1" x14ac:dyDescent="0.25">
      <c r="B308" s="14" t="s">
        <v>412</v>
      </c>
      <c r="C308" s="356"/>
      <c r="D308" s="356"/>
      <c r="E308" s="356"/>
      <c r="F308" s="356"/>
      <c r="G308" s="356"/>
      <c r="H308" s="356"/>
      <c r="I308" s="356"/>
      <c r="J308" s="356"/>
      <c r="K308" s="356"/>
      <c r="L308" s="181"/>
      <c r="M308" s="181"/>
      <c r="N308" s="85"/>
      <c r="P308" s="9"/>
    </row>
    <row r="309" spans="2:17" ht="15.75" customHeight="1" x14ac:dyDescent="0.25">
      <c r="B309" s="14"/>
      <c r="C309" s="181"/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85"/>
      <c r="P309" s="9"/>
    </row>
    <row r="310" spans="2:17" ht="15.75" customHeight="1" x14ac:dyDescent="0.25">
      <c r="B310" s="14" t="s">
        <v>44</v>
      </c>
      <c r="C310" s="192">
        <v>0.20069999999999999</v>
      </c>
      <c r="D310" s="192"/>
      <c r="E310" s="192"/>
      <c r="F310" s="85"/>
      <c r="G310" s="85"/>
      <c r="H310" s="357"/>
      <c r="I310" s="85"/>
      <c r="J310" s="85"/>
      <c r="K310" s="85"/>
      <c r="L310" s="85"/>
      <c r="M310" s="85"/>
      <c r="N310" s="85"/>
      <c r="P310" s="9"/>
    </row>
    <row r="311" spans="2:17" ht="15.75" customHeight="1" x14ac:dyDescent="0.25">
      <c r="B311" s="14" t="s">
        <v>45</v>
      </c>
      <c r="C311" s="188">
        <v>54</v>
      </c>
      <c r="D311" s="188"/>
      <c r="E311" s="188"/>
      <c r="F311" s="188"/>
      <c r="G311" s="188"/>
      <c r="H311" s="188"/>
      <c r="I311" s="188"/>
      <c r="J311" s="188"/>
      <c r="K311" s="102"/>
      <c r="L311" s="102"/>
      <c r="M311" s="102"/>
      <c r="N311" s="102"/>
      <c r="O311" s="43"/>
      <c r="P311" s="43"/>
      <c r="Q311" s="43"/>
    </row>
    <row r="312" spans="2:17" x14ac:dyDescent="0.25">
      <c r="B312" s="14"/>
      <c r="C312" s="102"/>
      <c r="D312" s="17"/>
      <c r="E312" s="17"/>
      <c r="F312" s="17"/>
      <c r="G312" s="17"/>
      <c r="H312" s="17"/>
      <c r="I312" s="17"/>
      <c r="J312" s="17"/>
      <c r="K312" s="278"/>
      <c r="L312" s="278"/>
      <c r="O312" s="43"/>
      <c r="P312" s="43"/>
      <c r="Q312" s="43"/>
    </row>
    <row r="313" spans="2:17" ht="15.75" customHeight="1" x14ac:dyDescent="0.25">
      <c r="B313" s="23" t="s">
        <v>39</v>
      </c>
      <c r="C313" s="114">
        <v>49</v>
      </c>
      <c r="D313" s="114"/>
      <c r="E313" s="297"/>
      <c r="F313" s="297"/>
      <c r="G313" s="297"/>
      <c r="H313" s="297"/>
      <c r="I313" s="297"/>
      <c r="J313" s="297"/>
      <c r="K313" s="297"/>
      <c r="L313" s="297"/>
      <c r="M313" s="17"/>
      <c r="N313" s="17"/>
    </row>
    <row r="314" spans="2:17" ht="15.75" customHeight="1" x14ac:dyDescent="0.25">
      <c r="B314" s="23" t="s">
        <v>22</v>
      </c>
      <c r="C314" s="278">
        <v>134</v>
      </c>
      <c r="D314" s="278"/>
      <c r="E314" s="278"/>
      <c r="F314" s="278"/>
      <c r="G314" s="278"/>
      <c r="H314" s="278"/>
      <c r="I314" s="340"/>
      <c r="J314" s="278"/>
      <c r="K314" s="278"/>
      <c r="L314" s="278"/>
      <c r="M314" s="278"/>
    </row>
    <row r="315" spans="2:17" ht="15.75" customHeight="1" x14ac:dyDescent="0.25">
      <c r="B315" s="23" t="s">
        <v>23</v>
      </c>
      <c r="C315" s="278">
        <v>2313</v>
      </c>
      <c r="D315" s="278"/>
      <c r="E315" s="278"/>
      <c r="F315" s="278"/>
      <c r="G315" s="278"/>
      <c r="H315" s="278"/>
      <c r="I315" s="278"/>
      <c r="J315" s="279"/>
      <c r="K315" s="278"/>
      <c r="L315" s="278"/>
      <c r="M315" s="30"/>
    </row>
    <row r="316" spans="2:17" ht="15.75" customHeight="1" x14ac:dyDescent="0.25">
      <c r="B316" s="23" t="s">
        <v>214</v>
      </c>
      <c r="C316" s="260">
        <f>C314/27</f>
        <v>4.9629629629629628</v>
      </c>
      <c r="D316" s="260"/>
      <c r="E316" s="260"/>
      <c r="F316" s="260"/>
      <c r="G316" s="260"/>
      <c r="H316" s="260"/>
      <c r="I316" s="260"/>
      <c r="J316" s="260"/>
      <c r="K316" s="260"/>
      <c r="L316" s="260"/>
      <c r="M316" s="260"/>
      <c r="N316" s="260"/>
    </row>
    <row r="317" spans="2:17" ht="15.75" customHeight="1" x14ac:dyDescent="0.25">
      <c r="B317" s="23" t="s">
        <v>49</v>
      </c>
      <c r="C317" s="102">
        <f>C315/C314</f>
        <v>17.261194029850746</v>
      </c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</row>
    <row r="318" spans="2:17" ht="15.75" customHeight="1" x14ac:dyDescent="0.25">
      <c r="B318" s="23" t="s">
        <v>50</v>
      </c>
      <c r="C318" s="358">
        <f>C289/C314</f>
        <v>205.94417910447763</v>
      </c>
      <c r="D318" s="358"/>
      <c r="E318" s="358"/>
      <c r="F318" s="358"/>
      <c r="G318" s="358"/>
      <c r="H318" s="358"/>
      <c r="I318" s="358"/>
      <c r="J318" s="358"/>
      <c r="K318" s="358"/>
      <c r="L318" s="358"/>
      <c r="M318" s="358"/>
      <c r="N318" s="358"/>
    </row>
    <row r="319" spans="2:17" ht="15.75" customHeight="1" x14ac:dyDescent="0.25">
      <c r="B319" s="23"/>
      <c r="C319" s="38"/>
      <c r="D319" s="38"/>
      <c r="E319" s="38"/>
      <c r="F319" s="38"/>
      <c r="G319" s="38"/>
      <c r="H319" s="38"/>
      <c r="I319" s="359"/>
      <c r="J319" s="38"/>
      <c r="K319" s="38"/>
      <c r="L319" s="38"/>
      <c r="M319" s="38"/>
      <c r="N319" s="38"/>
    </row>
    <row r="320" spans="2:17" ht="15.75" customHeight="1" x14ac:dyDescent="0.25">
      <c r="B320" s="23" t="s">
        <v>97</v>
      </c>
      <c r="C320" s="360">
        <v>0.94</v>
      </c>
      <c r="D320" s="361"/>
      <c r="E320" s="299"/>
      <c r="F320" s="79"/>
      <c r="G320" s="299"/>
      <c r="H320" s="299"/>
      <c r="I320" s="299"/>
      <c r="J320" s="299"/>
      <c r="K320" s="24"/>
      <c r="L320" s="79"/>
      <c r="M320" s="24"/>
    </row>
    <row r="321" spans="2:16" ht="15.75" customHeight="1" x14ac:dyDescent="0.25">
      <c r="B321" s="23" t="s">
        <v>51</v>
      </c>
      <c r="C321" s="285">
        <v>35</v>
      </c>
      <c r="D321" s="36"/>
      <c r="E321" s="36"/>
      <c r="G321" s="278"/>
      <c r="H321" s="278"/>
      <c r="I321" s="278"/>
      <c r="J321" s="278"/>
    </row>
    <row r="322" spans="2:16" ht="15.75" customHeight="1" x14ac:dyDescent="0.25">
      <c r="B322" s="23"/>
      <c r="C322" s="184"/>
      <c r="D322" s="36"/>
      <c r="E322" s="36"/>
    </row>
    <row r="323" spans="2:16" ht="15.75" customHeight="1" x14ac:dyDescent="0.25">
      <c r="B323" s="217" t="s">
        <v>113</v>
      </c>
      <c r="C323" s="220"/>
      <c r="D323" s="223"/>
      <c r="E323" s="225"/>
      <c r="F323" s="229"/>
      <c r="G323" s="230"/>
      <c r="H323" s="222"/>
      <c r="I323" s="222"/>
      <c r="J323" s="222"/>
      <c r="K323" s="222"/>
      <c r="L323" s="222"/>
      <c r="M323" s="222"/>
      <c r="N323" s="222"/>
    </row>
    <row r="324" spans="2:16" ht="15.75" customHeight="1" x14ac:dyDescent="0.25">
      <c r="B324" s="23"/>
      <c r="C324" s="400" t="s">
        <v>487</v>
      </c>
      <c r="D324" s="196"/>
      <c r="E324" s="237"/>
      <c r="F324" s="241"/>
      <c r="G324" s="238"/>
      <c r="H324" s="212"/>
      <c r="I324" s="212"/>
      <c r="J324" s="212"/>
      <c r="K324" s="212"/>
      <c r="L324" s="212"/>
      <c r="M324" s="212"/>
    </row>
    <row r="325" spans="2:16" ht="15.75" customHeight="1" x14ac:dyDescent="0.25">
      <c r="B325" s="23"/>
      <c r="C325" s="400" t="s">
        <v>488</v>
      </c>
      <c r="D325" s="196"/>
      <c r="E325" s="226"/>
      <c r="F325" s="243"/>
      <c r="G325" s="228"/>
      <c r="H325" s="228"/>
      <c r="I325" s="212"/>
      <c r="J325" s="212"/>
      <c r="K325" s="212"/>
      <c r="L325" s="212"/>
      <c r="M325" s="212"/>
    </row>
    <row r="326" spans="2:16" ht="15.75" customHeight="1" x14ac:dyDescent="0.25">
      <c r="B326" s="23"/>
      <c r="C326" s="400" t="s">
        <v>489</v>
      </c>
      <c r="D326" s="196"/>
      <c r="E326" s="226"/>
      <c r="F326" s="243"/>
      <c r="G326" s="228"/>
      <c r="H326" s="212"/>
      <c r="I326" s="212"/>
      <c r="J326" s="212"/>
      <c r="K326" s="212"/>
      <c r="L326" s="212"/>
      <c r="M326" s="212"/>
    </row>
    <row r="327" spans="2:16" ht="15.75" customHeight="1" x14ac:dyDescent="0.25">
      <c r="B327" s="23"/>
      <c r="C327" s="400" t="s">
        <v>490</v>
      </c>
      <c r="D327" s="196"/>
      <c r="E327" s="226"/>
      <c r="F327" s="243"/>
      <c r="G327" s="228"/>
      <c r="H327" s="212"/>
      <c r="I327" s="212"/>
      <c r="J327" s="212"/>
      <c r="K327" s="212"/>
      <c r="L327" s="212"/>
      <c r="M327" s="212"/>
    </row>
    <row r="328" spans="2:16" ht="15.75" customHeight="1" x14ac:dyDescent="0.25">
      <c r="B328" s="23"/>
      <c r="C328" s="184" t="s">
        <v>491</v>
      </c>
      <c r="D328" s="36"/>
      <c r="E328" s="226"/>
      <c r="F328" s="243"/>
      <c r="G328" s="228"/>
      <c r="H328" s="212"/>
      <c r="I328" s="212"/>
      <c r="J328" s="212"/>
      <c r="K328" s="212"/>
      <c r="L328" s="212"/>
      <c r="M328" s="212"/>
    </row>
    <row r="329" spans="2:16" ht="15.75" customHeight="1" x14ac:dyDescent="0.25">
      <c r="B329" s="23"/>
      <c r="C329" s="184" t="s">
        <v>492</v>
      </c>
      <c r="D329" s="36"/>
      <c r="E329" s="226"/>
      <c r="F329" s="243"/>
      <c r="G329" s="228"/>
      <c r="H329" s="212"/>
      <c r="I329" s="212"/>
      <c r="J329" s="212"/>
      <c r="K329" s="212"/>
      <c r="L329" s="212"/>
      <c r="M329" s="212"/>
    </row>
    <row r="330" spans="2:16" ht="15.75" customHeight="1" x14ac:dyDescent="0.25">
      <c r="B330" s="23"/>
      <c r="C330" s="184" t="s">
        <v>493</v>
      </c>
      <c r="D330" s="36"/>
      <c r="E330" s="226"/>
      <c r="F330" s="243"/>
      <c r="G330" s="228"/>
      <c r="H330" s="212"/>
      <c r="I330" s="212"/>
      <c r="J330" s="212"/>
      <c r="K330" s="212"/>
      <c r="L330" s="212"/>
      <c r="M330" s="212"/>
    </row>
    <row r="331" spans="2:16" ht="15.75" customHeight="1" x14ac:dyDescent="0.25">
      <c r="B331" s="23"/>
      <c r="C331" s="184" t="s">
        <v>403</v>
      </c>
      <c r="D331" s="36"/>
      <c r="E331" s="226"/>
      <c r="F331" s="243"/>
      <c r="G331" s="228"/>
      <c r="H331" s="212"/>
      <c r="I331" s="212"/>
      <c r="J331" s="212"/>
      <c r="K331" s="212"/>
      <c r="L331" s="212"/>
      <c r="M331" s="212"/>
    </row>
    <row r="332" spans="2:16" ht="15.75" customHeight="1" x14ac:dyDescent="0.25">
      <c r="B332" s="23"/>
      <c r="C332" s="184" t="s">
        <v>494</v>
      </c>
      <c r="D332" s="36"/>
      <c r="E332" s="226"/>
      <c r="F332" s="243"/>
      <c r="G332" s="228"/>
      <c r="H332" s="212"/>
      <c r="I332" s="212"/>
      <c r="J332" s="212"/>
      <c r="K332" s="212"/>
      <c r="L332" s="212"/>
      <c r="M332" s="212"/>
    </row>
    <row r="333" spans="2:16" ht="15.75" customHeight="1" x14ac:dyDescent="0.25">
      <c r="B333" s="23"/>
      <c r="C333" s="184" t="s">
        <v>495</v>
      </c>
      <c r="D333" s="36"/>
      <c r="E333" s="226"/>
      <c r="F333" s="243"/>
      <c r="G333" s="228"/>
      <c r="H333" s="212"/>
      <c r="I333" s="212"/>
      <c r="J333" s="212"/>
      <c r="K333" s="212"/>
      <c r="L333" s="212"/>
      <c r="M333" s="212"/>
    </row>
    <row r="334" spans="2:16" ht="15.75" customHeight="1" x14ac:dyDescent="0.25">
      <c r="B334" s="23"/>
      <c r="C334" s="184"/>
      <c r="D334" s="36"/>
      <c r="E334" s="36"/>
      <c r="F334" s="243"/>
      <c r="G334" s="228"/>
      <c r="H334" s="212"/>
      <c r="I334" s="212"/>
      <c r="J334" s="212"/>
      <c r="K334" s="212"/>
      <c r="L334" s="212"/>
      <c r="M334" s="212"/>
    </row>
    <row r="335" spans="2:16" ht="15.75" customHeight="1" x14ac:dyDescent="0.25">
      <c r="B335" s="290" t="s">
        <v>263</v>
      </c>
      <c r="C335" s="290" t="s">
        <v>264</v>
      </c>
      <c r="D335" s="295" t="s">
        <v>265</v>
      </c>
      <c r="E335" s="295" t="s">
        <v>266</v>
      </c>
      <c r="F335" s="295" t="s">
        <v>265</v>
      </c>
      <c r="G335" s="295" t="s">
        <v>267</v>
      </c>
      <c r="H335" s="295" t="s">
        <v>268</v>
      </c>
      <c r="I335" s="295" t="s">
        <v>471</v>
      </c>
      <c r="J335" s="295" t="s">
        <v>270</v>
      </c>
      <c r="K335" s="386" t="s">
        <v>462</v>
      </c>
      <c r="L335" s="386" t="s">
        <v>458</v>
      </c>
      <c r="M335" s="386"/>
      <c r="N335" s="386" t="s">
        <v>459</v>
      </c>
      <c r="O335" s="386" t="s">
        <v>460</v>
      </c>
      <c r="P335" s="386" t="s">
        <v>461</v>
      </c>
    </row>
    <row r="336" spans="2:16" ht="15.75" customHeight="1" x14ac:dyDescent="0.25">
      <c r="B336" s="291"/>
      <c r="C336" s="278"/>
      <c r="D336" s="278"/>
      <c r="E336" s="292"/>
      <c r="F336" s="278"/>
      <c r="G336" s="292"/>
      <c r="H336" s="278"/>
      <c r="I336" s="292"/>
      <c r="J336" s="294" t="e">
        <f>G336/I336</f>
        <v>#DIV/0!</v>
      </c>
      <c r="K336" s="387" t="e">
        <f>(G336*0.005)*J336</f>
        <v>#DIV/0!</v>
      </c>
      <c r="L336" s="388">
        <v>0.15</v>
      </c>
      <c r="M336" s="387"/>
      <c r="N336" s="288" t="e">
        <f>K336-M336</f>
        <v>#DIV/0!</v>
      </c>
      <c r="O336" s="264"/>
    </row>
    <row r="337" spans="2:16" ht="15.75" customHeight="1" x14ac:dyDescent="0.25">
      <c r="B337" s="295"/>
      <c r="C337" s="278" t="s">
        <v>291</v>
      </c>
      <c r="D337" s="278">
        <v>9</v>
      </c>
      <c r="E337" s="292">
        <v>2284.6799999999998</v>
      </c>
      <c r="F337" s="278">
        <v>35</v>
      </c>
      <c r="G337" s="292">
        <v>4314.13</v>
      </c>
      <c r="H337" s="278">
        <f>D337+F337</f>
        <v>44</v>
      </c>
      <c r="I337" s="292">
        <f>E337+G337</f>
        <v>6598.8099999999995</v>
      </c>
      <c r="J337" s="294">
        <f t="shared" ref="J337:J339" si="75">G337/I337</f>
        <v>0.65377393802822026</v>
      </c>
      <c r="K337" s="387">
        <f t="shared" ref="K337:K339" si="76">(G337*0.005)*J337</f>
        <v>14.102328796328429</v>
      </c>
      <c r="L337" s="388">
        <v>0.15</v>
      </c>
      <c r="M337" s="387"/>
      <c r="N337" s="288">
        <f t="shared" ref="N337" si="77">K337-M337</f>
        <v>14.102328796328429</v>
      </c>
    </row>
    <row r="338" spans="2:16" ht="15.75" customHeight="1" x14ac:dyDescent="0.25">
      <c r="B338" s="295" t="s">
        <v>271</v>
      </c>
      <c r="C338" s="278" t="s">
        <v>478</v>
      </c>
      <c r="D338" s="278">
        <v>15</v>
      </c>
      <c r="E338" s="292">
        <v>3213.2</v>
      </c>
      <c r="F338" s="278">
        <v>34</v>
      </c>
      <c r="G338" s="292">
        <v>5208.51</v>
      </c>
      <c r="H338" s="278">
        <f t="shared" ref="H338:H339" si="78">D338+F338</f>
        <v>49</v>
      </c>
      <c r="I338" s="292">
        <f t="shared" ref="I338:I339" si="79">E338+G338</f>
        <v>8421.7099999999991</v>
      </c>
      <c r="J338" s="294">
        <f t="shared" si="75"/>
        <v>0.61846228378797186</v>
      </c>
      <c r="K338" s="387">
        <f t="shared" si="76"/>
        <v>16.106334948662447</v>
      </c>
      <c r="L338" s="388">
        <v>0.15</v>
      </c>
      <c r="M338" s="254"/>
    </row>
    <row r="339" spans="2:16" ht="15.75" customHeight="1" x14ac:dyDescent="0.25">
      <c r="B339" s="295"/>
      <c r="C339" s="278" t="s">
        <v>479</v>
      </c>
      <c r="D339" s="278">
        <v>2</v>
      </c>
      <c r="E339" s="292">
        <v>1350.14</v>
      </c>
      <c r="F339" s="278">
        <v>6</v>
      </c>
      <c r="G339" s="292">
        <v>751.62</v>
      </c>
      <c r="H339" s="278">
        <f t="shared" si="78"/>
        <v>8</v>
      </c>
      <c r="I339" s="292">
        <f t="shared" si="79"/>
        <v>2101.7600000000002</v>
      </c>
      <c r="J339" s="294">
        <f t="shared" si="75"/>
        <v>0.35761457064555419</v>
      </c>
      <c r="K339" s="387">
        <f t="shared" si="76"/>
        <v>1.3439513179430573</v>
      </c>
      <c r="L339" s="388">
        <v>0.15</v>
      </c>
      <c r="M339" s="254"/>
    </row>
    <row r="340" spans="2:16" ht="15.75" customHeight="1" x14ac:dyDescent="0.25">
      <c r="B340" s="295"/>
      <c r="C340" s="278"/>
      <c r="D340" s="278"/>
      <c r="E340" s="399">
        <f>SUM(E336:E338)</f>
        <v>5497.8799999999992</v>
      </c>
      <c r="F340" s="278"/>
      <c r="G340" s="399">
        <f>SUM(G336:G338)</f>
        <v>9522.64</v>
      </c>
      <c r="H340" s="278"/>
      <c r="I340" s="292"/>
      <c r="J340" s="294"/>
      <c r="M340" s="290" t="s">
        <v>463</v>
      </c>
      <c r="N340" s="288" t="e">
        <f>SUM(N336:N339)</f>
        <v>#DIV/0!</v>
      </c>
    </row>
    <row r="341" spans="2:16" ht="15.75" customHeight="1" x14ac:dyDescent="0.25">
      <c r="B341" s="278"/>
      <c r="C341" s="290" t="s">
        <v>264</v>
      </c>
      <c r="D341" s="295" t="s">
        <v>265</v>
      </c>
      <c r="E341" s="295" t="s">
        <v>266</v>
      </c>
      <c r="F341" s="295" t="s">
        <v>265</v>
      </c>
      <c r="G341" s="295" t="s">
        <v>267</v>
      </c>
      <c r="H341" s="295" t="s">
        <v>268</v>
      </c>
      <c r="I341" s="295" t="s">
        <v>269</v>
      </c>
      <c r="J341" s="295" t="s">
        <v>270</v>
      </c>
      <c r="K341" s="386" t="s">
        <v>462</v>
      </c>
      <c r="L341" s="386" t="s">
        <v>458</v>
      </c>
      <c r="M341" s="386"/>
      <c r="N341" s="386" t="s">
        <v>459</v>
      </c>
      <c r="O341" s="386" t="s">
        <v>460</v>
      </c>
      <c r="P341" s="386" t="s">
        <v>461</v>
      </c>
    </row>
    <row r="342" spans="2:16" ht="15.75" customHeight="1" x14ac:dyDescent="0.25">
      <c r="B342" s="293"/>
      <c r="C342" s="278"/>
      <c r="D342" s="278"/>
      <c r="E342" s="292"/>
      <c r="F342" s="278"/>
      <c r="G342" s="292"/>
      <c r="H342" s="278"/>
      <c r="I342" s="292"/>
      <c r="J342" s="294" t="e">
        <f>G342/I342</f>
        <v>#DIV/0!</v>
      </c>
      <c r="K342" s="387" t="e">
        <f>(G342*0.005)*J342</f>
        <v>#DIV/0!</v>
      </c>
      <c r="L342" s="388">
        <v>0.15</v>
      </c>
      <c r="M342" s="387"/>
      <c r="N342" s="288" t="e">
        <f>K342-M342</f>
        <v>#DIV/0!</v>
      </c>
      <c r="O342" s="264"/>
    </row>
    <row r="343" spans="2:16" ht="15.75" customHeight="1" x14ac:dyDescent="0.25">
      <c r="B343" s="295"/>
      <c r="C343" s="278"/>
      <c r="D343" s="278"/>
      <c r="E343" s="292"/>
      <c r="F343" s="278"/>
      <c r="G343" s="292"/>
      <c r="H343" s="278"/>
      <c r="I343" s="292"/>
      <c r="J343" s="294" t="e">
        <f>G343/I343</f>
        <v>#DIV/0!</v>
      </c>
      <c r="K343" s="387" t="e">
        <f>(G343*0.005)*J343</f>
        <v>#DIV/0!</v>
      </c>
      <c r="L343" s="388">
        <v>0.15</v>
      </c>
      <c r="M343" s="387"/>
      <c r="N343" s="288" t="e">
        <f t="shared" ref="N343" si="80">K343-M343</f>
        <v>#DIV/0!</v>
      </c>
    </row>
    <row r="344" spans="2:16" ht="15.75" customHeight="1" x14ac:dyDescent="0.25">
      <c r="B344" s="295" t="s">
        <v>272</v>
      </c>
      <c r="C344" s="278"/>
      <c r="D344" s="278"/>
      <c r="E344" s="292"/>
      <c r="F344" s="278"/>
      <c r="G344" s="292"/>
      <c r="H344" s="278"/>
      <c r="I344" s="292"/>
      <c r="J344" s="289"/>
    </row>
    <row r="345" spans="2:16" ht="15.75" customHeight="1" x14ac:dyDescent="0.25">
      <c r="B345" s="295"/>
      <c r="C345" s="278"/>
      <c r="D345" s="278"/>
      <c r="E345" s="292"/>
      <c r="F345" s="278"/>
      <c r="G345" s="292"/>
      <c r="H345" s="278"/>
      <c r="I345" s="292"/>
      <c r="J345" s="289"/>
    </row>
    <row r="346" spans="2:16" ht="15.75" customHeight="1" x14ac:dyDescent="0.25">
      <c r="B346" s="295"/>
      <c r="C346" s="278"/>
      <c r="D346" s="278"/>
      <c r="E346" s="288"/>
      <c r="F346" s="278"/>
      <c r="G346" s="288"/>
      <c r="H346" s="278"/>
      <c r="I346" s="292"/>
      <c r="J346" s="289"/>
    </row>
    <row r="347" spans="2:16" ht="15.75" customHeight="1" x14ac:dyDescent="0.25">
      <c r="B347" s="295"/>
      <c r="C347" s="278"/>
      <c r="D347" s="278"/>
      <c r="E347" s="398">
        <f>SUM(E342:E345)</f>
        <v>0</v>
      </c>
      <c r="F347" s="278"/>
      <c r="G347" s="398">
        <f>SUM(G342:G345)</f>
        <v>0</v>
      </c>
      <c r="H347" s="278"/>
      <c r="I347" s="292"/>
      <c r="J347" s="289"/>
      <c r="M347" s="290" t="s">
        <v>463</v>
      </c>
      <c r="N347" s="288" t="e">
        <f>SUM(N342:N346)</f>
        <v>#DIV/0!</v>
      </c>
    </row>
    <row r="348" spans="2:16" ht="15.75" customHeight="1" x14ac:dyDescent="0.25">
      <c r="C348" s="290" t="s">
        <v>264</v>
      </c>
      <c r="D348" s="295" t="s">
        <v>265</v>
      </c>
      <c r="E348" s="295" t="s">
        <v>266</v>
      </c>
      <c r="F348" s="295" t="s">
        <v>265</v>
      </c>
      <c r="G348" s="295" t="s">
        <v>267</v>
      </c>
      <c r="H348" s="295" t="s">
        <v>268</v>
      </c>
      <c r="I348" s="295" t="s">
        <v>269</v>
      </c>
      <c r="J348" s="295" t="s">
        <v>270</v>
      </c>
      <c r="K348" s="386" t="s">
        <v>462</v>
      </c>
      <c r="L348" s="386" t="s">
        <v>458</v>
      </c>
      <c r="M348" s="386"/>
      <c r="N348" s="386" t="s">
        <v>459</v>
      </c>
      <c r="O348" s="386" t="s">
        <v>460</v>
      </c>
      <c r="P348" s="386" t="s">
        <v>461</v>
      </c>
    </row>
    <row r="349" spans="2:16" ht="15.75" customHeight="1" x14ac:dyDescent="0.25">
      <c r="B349" s="295"/>
      <c r="C349" s="278"/>
      <c r="D349" s="278"/>
      <c r="E349" s="292"/>
      <c r="F349" s="278"/>
      <c r="G349" s="292"/>
      <c r="H349" s="278"/>
      <c r="I349" s="292"/>
      <c r="J349" s="294" t="e">
        <f>G349/I349</f>
        <v>#DIV/0!</v>
      </c>
      <c r="K349" s="387" t="e">
        <f>(G349*0.005)*J349</f>
        <v>#DIV/0!</v>
      </c>
      <c r="L349" s="388">
        <v>0.15</v>
      </c>
      <c r="M349" s="387"/>
      <c r="N349" s="288" t="e">
        <f>K349-M349</f>
        <v>#DIV/0!</v>
      </c>
      <c r="O349" s="264"/>
    </row>
    <row r="350" spans="2:16" ht="15.75" customHeight="1" x14ac:dyDescent="0.25">
      <c r="B350" s="295"/>
      <c r="C350" s="278"/>
      <c r="D350" s="278"/>
      <c r="E350" s="292"/>
      <c r="F350" s="278"/>
      <c r="G350" s="292"/>
      <c r="H350" s="278"/>
      <c r="I350" s="292"/>
      <c r="J350" s="294" t="e">
        <f>G350/I350</f>
        <v>#DIV/0!</v>
      </c>
      <c r="K350" s="387" t="e">
        <f>(G350*0.005)*J350</f>
        <v>#DIV/0!</v>
      </c>
      <c r="L350" s="388">
        <v>0.15</v>
      </c>
      <c r="M350" s="387"/>
      <c r="N350" s="288" t="e">
        <f t="shared" ref="N350" si="81">K350-M350</f>
        <v>#DIV/0!</v>
      </c>
    </row>
    <row r="351" spans="2:16" ht="15.75" customHeight="1" x14ac:dyDescent="0.25">
      <c r="B351" s="295" t="s">
        <v>273</v>
      </c>
      <c r="C351" s="278"/>
      <c r="D351" s="278"/>
      <c r="E351" s="292"/>
      <c r="F351" s="278"/>
      <c r="G351" s="292"/>
      <c r="H351" s="278"/>
      <c r="I351" s="292"/>
      <c r="J351" s="294"/>
    </row>
    <row r="352" spans="2:16" ht="15.75" customHeight="1" x14ac:dyDescent="0.25">
      <c r="B352" s="295"/>
      <c r="C352" s="278"/>
      <c r="D352" s="278"/>
      <c r="E352" s="292"/>
      <c r="F352" s="278"/>
      <c r="G352" s="292"/>
      <c r="H352" s="278"/>
      <c r="I352" s="292"/>
      <c r="J352" s="294"/>
    </row>
    <row r="353" spans="2:16" ht="15.75" customHeight="1" x14ac:dyDescent="0.25">
      <c r="B353" s="295"/>
      <c r="C353" s="278"/>
      <c r="D353" s="278"/>
      <c r="E353" s="292"/>
      <c r="F353" s="278"/>
      <c r="G353" s="292"/>
      <c r="H353" s="278"/>
      <c r="I353" s="292"/>
      <c r="J353" s="294"/>
    </row>
    <row r="354" spans="2:16" ht="15.75" customHeight="1" x14ac:dyDescent="0.25">
      <c r="B354" s="295"/>
      <c r="C354" s="278"/>
      <c r="D354" s="278"/>
      <c r="E354" s="399">
        <f>SUM(E349:E352)</f>
        <v>0</v>
      </c>
      <c r="F354" s="278"/>
      <c r="G354" s="399">
        <f>SUM(G349:G352)</f>
        <v>0</v>
      </c>
      <c r="H354" s="278"/>
      <c r="I354" s="292"/>
      <c r="J354" s="294"/>
      <c r="M354" s="290" t="s">
        <v>463</v>
      </c>
      <c r="N354" s="288" t="e">
        <f>SUM(N349:N353)</f>
        <v>#DIV/0!</v>
      </c>
    </row>
    <row r="355" spans="2:16" ht="15.75" customHeight="1" x14ac:dyDescent="0.25">
      <c r="B355" s="278"/>
      <c r="C355" s="290" t="s">
        <v>264</v>
      </c>
      <c r="D355" s="295" t="s">
        <v>265</v>
      </c>
      <c r="E355" s="295" t="s">
        <v>266</v>
      </c>
      <c r="F355" s="295" t="s">
        <v>265</v>
      </c>
      <c r="G355" s="295" t="s">
        <v>267</v>
      </c>
      <c r="H355" s="295" t="s">
        <v>268</v>
      </c>
      <c r="I355" s="295" t="s">
        <v>269</v>
      </c>
      <c r="J355" s="295" t="s">
        <v>270</v>
      </c>
      <c r="K355" s="386" t="s">
        <v>462</v>
      </c>
      <c r="L355" s="386" t="s">
        <v>458</v>
      </c>
      <c r="M355" s="386"/>
      <c r="N355" s="386" t="s">
        <v>459</v>
      </c>
      <c r="O355" s="386" t="s">
        <v>460</v>
      </c>
      <c r="P355" s="386" t="s">
        <v>461</v>
      </c>
    </row>
    <row r="356" spans="2:16" ht="15.75" customHeight="1" x14ac:dyDescent="0.25">
      <c r="B356" s="293"/>
      <c r="C356" s="278" t="s">
        <v>290</v>
      </c>
      <c r="D356" s="278"/>
      <c r="E356" s="292"/>
      <c r="F356" s="278"/>
      <c r="G356" s="292"/>
      <c r="H356" s="278"/>
      <c r="I356" s="292"/>
      <c r="J356" s="294" t="e">
        <f>G356/I356</f>
        <v>#DIV/0!</v>
      </c>
      <c r="K356" s="387" t="e">
        <f>(G356*0.005)*J356</f>
        <v>#DIV/0!</v>
      </c>
      <c r="L356" s="388">
        <v>0.15</v>
      </c>
      <c r="M356" s="387"/>
      <c r="N356" s="288" t="e">
        <f>K356-M356</f>
        <v>#DIV/0!</v>
      </c>
      <c r="O356" s="264"/>
    </row>
    <row r="357" spans="2:16" ht="15.75" customHeight="1" x14ac:dyDescent="0.25">
      <c r="B357" s="295"/>
      <c r="C357" s="278" t="s">
        <v>291</v>
      </c>
      <c r="D357" s="278"/>
      <c r="E357" s="292"/>
      <c r="F357" s="278"/>
      <c r="G357" s="292"/>
      <c r="H357" s="278"/>
      <c r="I357" s="292"/>
      <c r="J357" s="294" t="e">
        <f>G357/I357</f>
        <v>#DIV/0!</v>
      </c>
      <c r="K357" s="387" t="e">
        <f>(G357*0.005)*J357</f>
        <v>#DIV/0!</v>
      </c>
      <c r="L357" s="388">
        <v>0.15</v>
      </c>
      <c r="M357" s="387"/>
      <c r="N357" s="288" t="e">
        <f t="shared" ref="N357" si="82">K357-M357</f>
        <v>#DIV/0!</v>
      </c>
    </row>
    <row r="358" spans="2:16" ht="15.75" customHeight="1" x14ac:dyDescent="0.25">
      <c r="B358" s="295" t="s">
        <v>274</v>
      </c>
      <c r="C358" s="278"/>
      <c r="D358" s="278"/>
      <c r="E358" s="292"/>
      <c r="F358" s="278"/>
      <c r="G358" s="292"/>
      <c r="H358" s="278"/>
      <c r="I358" s="292"/>
      <c r="J358" s="289"/>
    </row>
    <row r="359" spans="2:16" ht="15.75" customHeight="1" x14ac:dyDescent="0.25">
      <c r="B359" s="295"/>
      <c r="C359" s="278"/>
      <c r="D359" s="278"/>
      <c r="E359" s="292"/>
      <c r="F359" s="278"/>
      <c r="G359" s="292"/>
      <c r="H359" s="278"/>
      <c r="I359" s="292"/>
      <c r="J359" s="294"/>
    </row>
    <row r="360" spans="2:16" ht="15.75" customHeight="1" x14ac:dyDescent="0.25">
      <c r="B360" s="295"/>
      <c r="C360" s="278"/>
      <c r="D360" s="278"/>
      <c r="E360" s="292"/>
      <c r="F360" s="278"/>
      <c r="G360" s="292"/>
      <c r="H360" s="278"/>
      <c r="I360" s="292"/>
      <c r="J360" s="294"/>
    </row>
    <row r="361" spans="2:16" ht="15.75" customHeight="1" x14ac:dyDescent="0.25">
      <c r="B361" s="295"/>
      <c r="C361" s="278"/>
      <c r="D361" s="278"/>
      <c r="E361" s="303">
        <f>SUM(E356:E357)</f>
        <v>0</v>
      </c>
      <c r="F361" s="278"/>
      <c r="G361" s="303">
        <f>SUM(G356:G357)</f>
        <v>0</v>
      </c>
      <c r="H361" s="278"/>
      <c r="I361" s="292"/>
      <c r="J361" s="294"/>
      <c r="M361" s="290" t="s">
        <v>463</v>
      </c>
      <c r="N361" s="288" t="e">
        <f>SUM(N356:N360)</f>
        <v>#DIV/0!</v>
      </c>
    </row>
    <row r="362" spans="2:16" ht="15.75" customHeight="1" x14ac:dyDescent="0.25">
      <c r="C362" s="290" t="s">
        <v>264</v>
      </c>
      <c r="D362" s="295" t="s">
        <v>265</v>
      </c>
      <c r="E362" s="295" t="s">
        <v>266</v>
      </c>
      <c r="F362" s="295" t="s">
        <v>265</v>
      </c>
      <c r="G362" s="295" t="s">
        <v>267</v>
      </c>
      <c r="H362" s="295" t="s">
        <v>268</v>
      </c>
      <c r="I362" s="295" t="s">
        <v>269</v>
      </c>
      <c r="J362" s="295" t="s">
        <v>270</v>
      </c>
      <c r="K362" s="386" t="s">
        <v>462</v>
      </c>
      <c r="L362" s="386" t="s">
        <v>458</v>
      </c>
      <c r="M362" s="386"/>
      <c r="N362" s="386" t="s">
        <v>459</v>
      </c>
      <c r="O362" s="386" t="s">
        <v>460</v>
      </c>
      <c r="P362" s="386" t="s">
        <v>461</v>
      </c>
    </row>
    <row r="363" spans="2:16" ht="15.75" customHeight="1" x14ac:dyDescent="0.25">
      <c r="B363" s="295"/>
      <c r="C363" s="278" t="s">
        <v>290</v>
      </c>
      <c r="D363" s="278"/>
      <c r="E363" s="292"/>
      <c r="F363" s="278"/>
      <c r="G363" s="292"/>
      <c r="H363" s="278"/>
      <c r="I363" s="292"/>
      <c r="J363" s="294" t="e">
        <f>G363/I363</f>
        <v>#DIV/0!</v>
      </c>
      <c r="K363" s="387" t="e">
        <f>(G363*0.005)*J363</f>
        <v>#DIV/0!</v>
      </c>
      <c r="L363" s="388">
        <v>0.15</v>
      </c>
      <c r="M363" s="387"/>
      <c r="N363" s="288" t="e">
        <f>K363-M363</f>
        <v>#DIV/0!</v>
      </c>
      <c r="O363" s="264"/>
    </row>
    <row r="364" spans="2:16" ht="15.75" customHeight="1" x14ac:dyDescent="0.25">
      <c r="B364" s="295"/>
      <c r="C364" s="278" t="s">
        <v>291</v>
      </c>
      <c r="D364" s="278"/>
      <c r="E364" s="292"/>
      <c r="F364" s="278"/>
      <c r="G364" s="292"/>
      <c r="H364" s="278"/>
      <c r="I364" s="292"/>
      <c r="J364" s="294" t="e">
        <f>G364/I364</f>
        <v>#DIV/0!</v>
      </c>
      <c r="K364" s="387" t="e">
        <f>(G364*0.005)*J364</f>
        <v>#DIV/0!</v>
      </c>
      <c r="L364" s="388">
        <v>0.15</v>
      </c>
      <c r="M364" s="387"/>
      <c r="N364" s="288" t="e">
        <f t="shared" ref="N364" si="83">K364-M364</f>
        <v>#DIV/0!</v>
      </c>
    </row>
    <row r="365" spans="2:16" ht="15.75" customHeight="1" x14ac:dyDescent="0.25">
      <c r="B365" s="295" t="s">
        <v>275</v>
      </c>
      <c r="C365" s="278"/>
      <c r="D365" s="278"/>
      <c r="E365" s="292"/>
      <c r="F365" s="278"/>
      <c r="G365" s="292"/>
      <c r="H365" s="278"/>
      <c r="I365" s="292"/>
      <c r="J365" s="294"/>
    </row>
    <row r="366" spans="2:16" ht="15.75" customHeight="1" x14ac:dyDescent="0.25">
      <c r="B366" s="295"/>
      <c r="C366" s="278"/>
      <c r="D366" s="278"/>
      <c r="E366" s="292"/>
      <c r="F366" s="278"/>
      <c r="G366" s="292"/>
      <c r="H366" s="278"/>
      <c r="I366" s="292"/>
      <c r="J366" s="294"/>
    </row>
    <row r="367" spans="2:16" ht="15.75" customHeight="1" x14ac:dyDescent="0.25">
      <c r="B367" s="295"/>
      <c r="C367" s="278"/>
      <c r="D367" s="278"/>
      <c r="E367" s="292"/>
      <c r="F367" s="278"/>
      <c r="G367" s="292"/>
      <c r="H367" s="278"/>
      <c r="I367" s="292"/>
      <c r="J367" s="294"/>
    </row>
    <row r="368" spans="2:16" ht="15.75" customHeight="1" x14ac:dyDescent="0.25">
      <c r="B368" s="295"/>
      <c r="C368" s="278"/>
      <c r="D368" s="278"/>
      <c r="E368" s="303">
        <f>SUM(E363:E364)</f>
        <v>0</v>
      </c>
      <c r="F368" s="278"/>
      <c r="G368" s="303">
        <f>SUM(G363:G364)</f>
        <v>0</v>
      </c>
      <c r="H368" s="278"/>
      <c r="I368" s="292"/>
      <c r="J368" s="294"/>
      <c r="M368" s="290" t="s">
        <v>463</v>
      </c>
      <c r="N368" s="288" t="e">
        <f>SUM(N363:N367)</f>
        <v>#DIV/0!</v>
      </c>
    </row>
    <row r="369" spans="2:16" ht="15.75" customHeight="1" x14ac:dyDescent="0.25">
      <c r="B369" s="278"/>
      <c r="C369" s="313" t="s">
        <v>264</v>
      </c>
      <c r="D369" s="314" t="s">
        <v>265</v>
      </c>
      <c r="E369" s="314" t="s">
        <v>266</v>
      </c>
      <c r="F369" s="314" t="s">
        <v>265</v>
      </c>
      <c r="G369" s="314" t="s">
        <v>267</v>
      </c>
      <c r="H369" s="314" t="s">
        <v>268</v>
      </c>
      <c r="I369" s="314" t="s">
        <v>269</v>
      </c>
      <c r="J369" s="314" t="s">
        <v>270</v>
      </c>
      <c r="K369" s="386" t="s">
        <v>462</v>
      </c>
      <c r="L369" s="386" t="s">
        <v>458</v>
      </c>
      <c r="M369" s="386"/>
      <c r="N369" s="386" t="s">
        <v>459</v>
      </c>
      <c r="O369" s="386" t="s">
        <v>460</v>
      </c>
      <c r="P369" s="386" t="s">
        <v>461</v>
      </c>
    </row>
    <row r="370" spans="2:16" ht="15.75" customHeight="1" x14ac:dyDescent="0.25">
      <c r="B370" s="293"/>
      <c r="C370" s="278" t="s">
        <v>290</v>
      </c>
      <c r="D370" s="278"/>
      <c r="E370" s="292"/>
      <c r="F370" s="278"/>
      <c r="G370" s="292"/>
      <c r="H370" s="278"/>
      <c r="I370" s="292"/>
      <c r="J370" s="294" t="e">
        <f>G370/I370</f>
        <v>#DIV/0!</v>
      </c>
      <c r="K370" s="387" t="e">
        <f>(G370*0.005)*J370</f>
        <v>#DIV/0!</v>
      </c>
      <c r="L370" s="388">
        <v>0.15</v>
      </c>
      <c r="M370" s="387"/>
      <c r="N370" s="288" t="e">
        <f>K370-M370</f>
        <v>#DIV/0!</v>
      </c>
      <c r="O370" s="264"/>
    </row>
    <row r="371" spans="2:16" ht="15.75" customHeight="1" x14ac:dyDescent="0.25">
      <c r="B371" s="295"/>
      <c r="C371" s="278" t="s">
        <v>291</v>
      </c>
      <c r="D371" s="278"/>
      <c r="E371" s="292"/>
      <c r="F371" s="278"/>
      <c r="G371" s="292"/>
      <c r="H371" s="278"/>
      <c r="I371" s="292"/>
      <c r="J371" s="294" t="e">
        <f>G371/I371</f>
        <v>#DIV/0!</v>
      </c>
      <c r="K371" s="387" t="e">
        <f>(G371*0.005)*J371</f>
        <v>#DIV/0!</v>
      </c>
      <c r="L371" s="388">
        <v>0.15</v>
      </c>
      <c r="M371" s="387"/>
      <c r="N371" s="288" t="e">
        <f t="shared" ref="N371" si="84">K371-M371</f>
        <v>#DIV/0!</v>
      </c>
    </row>
    <row r="372" spans="2:16" ht="15.75" customHeight="1" x14ac:dyDescent="0.25">
      <c r="B372" s="295"/>
      <c r="C372" s="278"/>
      <c r="D372" s="278"/>
      <c r="E372" s="292"/>
      <c r="F372" s="278"/>
      <c r="G372" s="292"/>
      <c r="H372" s="278"/>
      <c r="I372" s="292"/>
      <c r="J372" s="294"/>
    </row>
    <row r="373" spans="2:16" ht="15.75" customHeight="1" x14ac:dyDescent="0.25">
      <c r="B373" s="295" t="s">
        <v>276</v>
      </c>
      <c r="C373" s="278"/>
      <c r="D373" s="278"/>
      <c r="E373" s="292"/>
      <c r="F373" s="278"/>
      <c r="G373" s="292"/>
      <c r="H373" s="278"/>
      <c r="I373" s="292"/>
      <c r="J373" s="294"/>
    </row>
    <row r="374" spans="2:16" ht="15.75" customHeight="1" x14ac:dyDescent="0.25">
      <c r="B374" s="295"/>
      <c r="C374" s="278"/>
      <c r="D374" s="278"/>
      <c r="E374" s="304">
        <f>E370+E371</f>
        <v>0</v>
      </c>
      <c r="F374" s="278"/>
      <c r="G374" s="304">
        <f>G370+G371</f>
        <v>0</v>
      </c>
      <c r="H374" s="278"/>
      <c r="I374" s="292"/>
      <c r="J374" s="294"/>
      <c r="M374" s="290" t="s">
        <v>463</v>
      </c>
      <c r="N374" s="288" t="e">
        <f>SUM(N370:N373)</f>
        <v>#DIV/0!</v>
      </c>
    </row>
    <row r="375" spans="2:16" ht="15.75" customHeight="1" x14ac:dyDescent="0.25">
      <c r="C375" s="313" t="s">
        <v>264</v>
      </c>
      <c r="D375" s="314" t="s">
        <v>265</v>
      </c>
      <c r="E375" s="314" t="s">
        <v>266</v>
      </c>
      <c r="F375" s="314" t="s">
        <v>265</v>
      </c>
      <c r="G375" s="314" t="s">
        <v>267</v>
      </c>
      <c r="H375" s="314" t="s">
        <v>268</v>
      </c>
      <c r="I375" s="314" t="s">
        <v>269</v>
      </c>
      <c r="J375" s="314" t="s">
        <v>270</v>
      </c>
      <c r="K375" s="386" t="s">
        <v>462</v>
      </c>
      <c r="L375" s="386" t="s">
        <v>458</v>
      </c>
      <c r="M375" s="386"/>
      <c r="N375" s="386" t="s">
        <v>459</v>
      </c>
      <c r="O375" s="386" t="s">
        <v>460</v>
      </c>
      <c r="P375" s="386" t="s">
        <v>461</v>
      </c>
    </row>
    <row r="376" spans="2:16" ht="15.75" customHeight="1" x14ac:dyDescent="0.25">
      <c r="B376" s="295"/>
      <c r="C376" s="278" t="s">
        <v>290</v>
      </c>
      <c r="D376" s="278"/>
      <c r="E376" s="292"/>
      <c r="F376" s="278"/>
      <c r="G376" s="292"/>
      <c r="H376" s="278"/>
      <c r="I376" s="292"/>
      <c r="J376" s="294" t="e">
        <f>G376/I376</f>
        <v>#DIV/0!</v>
      </c>
      <c r="K376" s="387" t="e">
        <f>(G376*0.005)*J376</f>
        <v>#DIV/0!</v>
      </c>
      <c r="L376" s="388">
        <v>0.15</v>
      </c>
      <c r="M376" s="387"/>
      <c r="N376" s="288" t="e">
        <f>K376-M376</f>
        <v>#DIV/0!</v>
      </c>
      <c r="O376" s="264"/>
    </row>
    <row r="377" spans="2:16" ht="15.75" customHeight="1" x14ac:dyDescent="0.25">
      <c r="B377" s="295"/>
      <c r="C377" s="278" t="s">
        <v>291</v>
      </c>
      <c r="D377" s="278"/>
      <c r="E377" s="292"/>
      <c r="F377" s="278"/>
      <c r="G377" s="292"/>
      <c r="H377" s="278"/>
      <c r="I377" s="292"/>
      <c r="J377" s="294" t="e">
        <f>G377/I377</f>
        <v>#DIV/0!</v>
      </c>
      <c r="K377" s="387" t="e">
        <f>(G377*0.005)*J377</f>
        <v>#DIV/0!</v>
      </c>
      <c r="L377" s="388">
        <v>0.15</v>
      </c>
      <c r="M377" s="387"/>
      <c r="N377" s="288" t="e">
        <f t="shared" ref="N377" si="85">K377-M377</f>
        <v>#DIV/0!</v>
      </c>
    </row>
    <row r="378" spans="2:16" ht="15.75" customHeight="1" x14ac:dyDescent="0.25">
      <c r="B378" s="295" t="s">
        <v>277</v>
      </c>
      <c r="C378" s="278"/>
      <c r="D378" s="278"/>
      <c r="E378" s="292"/>
      <c r="F378" s="278"/>
      <c r="G378" s="292"/>
      <c r="H378" s="278"/>
      <c r="I378" s="292"/>
      <c r="J378" s="294"/>
    </row>
    <row r="379" spans="2:16" ht="15.75" customHeight="1" x14ac:dyDescent="0.25">
      <c r="B379" s="295"/>
      <c r="C379" s="278"/>
      <c r="D379" s="278"/>
      <c r="E379" s="292"/>
      <c r="F379" s="278"/>
      <c r="G379" s="292"/>
      <c r="H379" s="278"/>
      <c r="I379" s="292"/>
      <c r="J379" s="294"/>
    </row>
    <row r="380" spans="2:16" ht="15.75" customHeight="1" x14ac:dyDescent="0.25">
      <c r="B380" s="295"/>
      <c r="C380" s="278"/>
      <c r="D380" s="278"/>
      <c r="E380" s="304">
        <f>E376+E377</f>
        <v>0</v>
      </c>
      <c r="F380" s="278"/>
      <c r="G380" s="304">
        <f>G376+G377</f>
        <v>0</v>
      </c>
      <c r="H380" s="278"/>
      <c r="I380" s="292"/>
      <c r="J380" s="294"/>
      <c r="M380" s="290" t="s">
        <v>463</v>
      </c>
      <c r="N380" s="288" t="e">
        <f>SUM(N376:N379)</f>
        <v>#DIV/0!</v>
      </c>
    </row>
    <row r="381" spans="2:16" ht="15.75" customHeight="1" x14ac:dyDescent="0.25">
      <c r="B381" s="278"/>
      <c r="C381" s="313" t="s">
        <v>264</v>
      </c>
      <c r="D381" s="314" t="s">
        <v>265</v>
      </c>
      <c r="E381" s="314" t="s">
        <v>266</v>
      </c>
      <c r="F381" s="314" t="s">
        <v>265</v>
      </c>
      <c r="G381" s="314" t="s">
        <v>267</v>
      </c>
      <c r="H381" s="314" t="s">
        <v>268</v>
      </c>
      <c r="I381" s="314" t="s">
        <v>269</v>
      </c>
      <c r="J381" s="314" t="s">
        <v>270</v>
      </c>
      <c r="K381" s="386" t="s">
        <v>462</v>
      </c>
      <c r="L381" s="386" t="s">
        <v>458</v>
      </c>
      <c r="M381" s="386"/>
      <c r="N381" s="386" t="s">
        <v>459</v>
      </c>
      <c r="O381" s="386" t="s">
        <v>460</v>
      </c>
      <c r="P381" s="386" t="s">
        <v>461</v>
      </c>
    </row>
    <row r="382" spans="2:16" ht="15.75" customHeight="1" x14ac:dyDescent="0.25">
      <c r="B382" s="293"/>
      <c r="C382" s="278"/>
      <c r="D382" s="278"/>
      <c r="E382" s="292"/>
      <c r="F382" s="278"/>
      <c r="G382" s="292"/>
      <c r="H382" s="278"/>
      <c r="I382" s="292"/>
      <c r="J382" s="294"/>
      <c r="K382" s="387">
        <f>(G382*0.005)*J382</f>
        <v>0</v>
      </c>
      <c r="L382" s="388">
        <v>0.15</v>
      </c>
      <c r="M382" s="387"/>
      <c r="N382" s="288">
        <f>K382-M382</f>
        <v>0</v>
      </c>
      <c r="O382" s="264"/>
    </row>
    <row r="383" spans="2:16" ht="15.75" customHeight="1" x14ac:dyDescent="0.25">
      <c r="B383" s="295"/>
      <c r="C383" s="278" t="s">
        <v>290</v>
      </c>
      <c r="D383" s="278"/>
      <c r="E383" s="292"/>
      <c r="F383" s="278"/>
      <c r="G383" s="292"/>
      <c r="H383" s="278"/>
      <c r="I383" s="292"/>
      <c r="J383" s="294" t="e">
        <f>G383/I383</f>
        <v>#DIV/0!</v>
      </c>
      <c r="K383" s="387" t="e">
        <f>(G383*0.005)*J383</f>
        <v>#DIV/0!</v>
      </c>
      <c r="L383" s="388">
        <v>0.15</v>
      </c>
      <c r="M383" s="387"/>
      <c r="N383" s="288" t="e">
        <f t="shared" ref="N383" si="86">K383-M383</f>
        <v>#DIV/0!</v>
      </c>
    </row>
    <row r="384" spans="2:16" ht="15.75" customHeight="1" x14ac:dyDescent="0.25">
      <c r="B384" s="295"/>
      <c r="C384" s="278" t="s">
        <v>363</v>
      </c>
      <c r="D384" s="278"/>
      <c r="E384" s="292"/>
      <c r="F384" s="278"/>
      <c r="G384" s="292"/>
      <c r="H384" s="278"/>
      <c r="I384" s="316"/>
      <c r="J384" s="294" t="e">
        <f>G384/I384</f>
        <v>#DIV/0!</v>
      </c>
      <c r="K384" s="387" t="e">
        <f>(G384*0.005)*J384</f>
        <v>#DIV/0!</v>
      </c>
      <c r="L384" s="388">
        <v>0.15</v>
      </c>
      <c r="M384" s="387"/>
      <c r="N384" s="288" t="e">
        <f>K384-M384</f>
        <v>#DIV/0!</v>
      </c>
      <c r="O384" s="264"/>
    </row>
    <row r="385" spans="2:16" ht="15.75" customHeight="1" x14ac:dyDescent="0.25">
      <c r="B385" s="295" t="s">
        <v>278</v>
      </c>
      <c r="C385" s="278" t="s">
        <v>364</v>
      </c>
      <c r="D385" s="278"/>
      <c r="E385" s="292"/>
      <c r="F385" s="278"/>
      <c r="G385" s="292"/>
      <c r="H385" s="278"/>
      <c r="I385" s="292"/>
      <c r="J385" s="294"/>
      <c r="K385" s="387">
        <f>(G385*0.005)*J385</f>
        <v>0</v>
      </c>
      <c r="L385" s="388">
        <v>0.15</v>
      </c>
      <c r="M385" s="387"/>
      <c r="N385" s="288">
        <f t="shared" ref="N385" si="87">K385-M385</f>
        <v>0</v>
      </c>
    </row>
    <row r="386" spans="2:16" ht="15.75" customHeight="1" x14ac:dyDescent="0.25">
      <c r="B386" s="295"/>
      <c r="C386" s="278"/>
      <c r="D386" s="278"/>
      <c r="E386" s="292"/>
      <c r="F386" s="278"/>
      <c r="G386" s="292"/>
      <c r="H386" s="278"/>
      <c r="I386" s="292"/>
      <c r="J386" s="294"/>
      <c r="K386" s="387"/>
      <c r="L386" s="388"/>
      <c r="M386" s="387"/>
      <c r="N386" s="288"/>
    </row>
    <row r="387" spans="2:16" ht="15.75" customHeight="1" x14ac:dyDescent="0.25">
      <c r="B387" s="295"/>
      <c r="C387" s="278"/>
      <c r="D387" s="278"/>
      <c r="E387" s="399">
        <f>SUM(E382:E385)</f>
        <v>0</v>
      </c>
      <c r="F387" s="278"/>
      <c r="G387" s="399">
        <f>SUM(G382:G385)</f>
        <v>0</v>
      </c>
      <c r="H387" s="278"/>
      <c r="I387" s="292"/>
      <c r="J387" s="294"/>
      <c r="M387" s="290" t="s">
        <v>463</v>
      </c>
      <c r="N387" s="288" t="e">
        <f>SUM(N382:N385)</f>
        <v>#DIV/0!</v>
      </c>
    </row>
    <row r="388" spans="2:16" ht="15.75" customHeight="1" x14ac:dyDescent="0.25">
      <c r="C388" s="313" t="s">
        <v>264</v>
      </c>
      <c r="D388" s="314" t="s">
        <v>265</v>
      </c>
      <c r="E388" s="314" t="s">
        <v>266</v>
      </c>
      <c r="F388" s="314" t="s">
        <v>265</v>
      </c>
      <c r="G388" s="314" t="s">
        <v>267</v>
      </c>
      <c r="H388" s="314" t="s">
        <v>268</v>
      </c>
      <c r="I388" s="314" t="s">
        <v>269</v>
      </c>
      <c r="J388" s="314" t="s">
        <v>270</v>
      </c>
      <c r="K388" s="386" t="s">
        <v>462</v>
      </c>
      <c r="L388" s="386" t="s">
        <v>458</v>
      </c>
      <c r="M388" s="386"/>
      <c r="N388" s="386" t="s">
        <v>459</v>
      </c>
      <c r="O388" s="386" t="s">
        <v>460</v>
      </c>
      <c r="P388" s="386" t="s">
        <v>461</v>
      </c>
    </row>
    <row r="389" spans="2:16" ht="15.75" customHeight="1" x14ac:dyDescent="0.25">
      <c r="B389" s="295"/>
      <c r="C389" s="278"/>
      <c r="D389" s="278"/>
      <c r="E389" s="292"/>
      <c r="F389" s="278"/>
      <c r="G389" s="292"/>
      <c r="H389" s="278"/>
      <c r="I389" s="292"/>
      <c r="J389" s="294"/>
      <c r="K389" s="387">
        <f>(G389*0.005)*J389</f>
        <v>0</v>
      </c>
      <c r="L389" s="388">
        <v>0.15</v>
      </c>
      <c r="M389" s="387"/>
      <c r="N389" s="288">
        <f>K389-M389</f>
        <v>0</v>
      </c>
      <c r="O389" s="264"/>
    </row>
    <row r="390" spans="2:16" ht="15.75" customHeight="1" x14ac:dyDescent="0.25">
      <c r="B390" s="295"/>
      <c r="C390" s="278" t="s">
        <v>291</v>
      </c>
      <c r="D390" s="278"/>
      <c r="E390" s="292"/>
      <c r="F390" s="278"/>
      <c r="G390" s="292"/>
      <c r="H390" s="278"/>
      <c r="I390" s="316"/>
      <c r="J390" s="294" t="e">
        <f>G390/I390</f>
        <v>#DIV/0!</v>
      </c>
      <c r="K390" s="387" t="e">
        <f>(G390*0.005)*J390</f>
        <v>#DIV/0!</v>
      </c>
      <c r="L390" s="388">
        <v>0.15</v>
      </c>
      <c r="M390" s="387"/>
      <c r="N390" s="288" t="e">
        <f t="shared" ref="N390" si="88">K390-M390</f>
        <v>#DIV/0!</v>
      </c>
    </row>
    <row r="391" spans="2:16" ht="15.75" customHeight="1" x14ac:dyDescent="0.25">
      <c r="B391" s="295" t="s">
        <v>279</v>
      </c>
      <c r="C391" s="278" t="s">
        <v>290</v>
      </c>
      <c r="D391" s="278"/>
      <c r="E391" s="292"/>
      <c r="F391" s="278"/>
      <c r="G391" s="292"/>
      <c r="H391" s="278"/>
      <c r="I391" s="316"/>
      <c r="J391" s="294" t="e">
        <f>G391/I391</f>
        <v>#DIV/0!</v>
      </c>
      <c r="K391" s="387" t="e">
        <f>(G391*0.005)*J391</f>
        <v>#DIV/0!</v>
      </c>
      <c r="L391" s="388">
        <v>0.15</v>
      </c>
      <c r="M391" s="387"/>
      <c r="N391" s="288" t="e">
        <f>K391-M391</f>
        <v>#DIV/0!</v>
      </c>
      <c r="O391" s="264"/>
    </row>
    <row r="392" spans="2:16" ht="15.75" customHeight="1" x14ac:dyDescent="0.25">
      <c r="B392" s="295"/>
      <c r="C392" s="278" t="s">
        <v>434</v>
      </c>
      <c r="D392" s="278"/>
      <c r="E392" s="292"/>
      <c r="F392" s="278"/>
      <c r="G392" s="292"/>
      <c r="H392" s="278"/>
      <c r="I392" s="316"/>
      <c r="J392" s="294" t="e">
        <f>G392/I392</f>
        <v>#DIV/0!</v>
      </c>
      <c r="K392" s="387" t="e">
        <f>(G392*0.005)*J392</f>
        <v>#DIV/0!</v>
      </c>
      <c r="L392" s="388">
        <v>0.15</v>
      </c>
      <c r="M392" s="387"/>
      <c r="N392" s="288" t="e">
        <f t="shared" ref="N392" si="89">K392-M392</f>
        <v>#DIV/0!</v>
      </c>
    </row>
    <row r="393" spans="2:16" ht="15.75" customHeight="1" x14ac:dyDescent="0.25">
      <c r="B393" s="295"/>
      <c r="C393" s="278"/>
      <c r="D393" s="278"/>
      <c r="E393" s="292"/>
      <c r="F393" s="278"/>
      <c r="G393" s="292"/>
      <c r="H393" s="278"/>
      <c r="I393" s="316"/>
      <c r="J393" s="294"/>
      <c r="K393" s="387"/>
      <c r="L393" s="388"/>
      <c r="M393" s="387"/>
      <c r="N393" s="288"/>
    </row>
    <row r="394" spans="2:16" ht="15.75" customHeight="1" x14ac:dyDescent="0.25">
      <c r="B394" s="295"/>
      <c r="C394" s="278"/>
      <c r="D394" s="278"/>
      <c r="E394" s="399">
        <f>SUM(E389:E392)</f>
        <v>0</v>
      </c>
      <c r="F394" s="278"/>
      <c r="G394" s="399">
        <f>SUM(G389:G392)</f>
        <v>0</v>
      </c>
      <c r="H394" s="278"/>
      <c r="I394" s="292"/>
      <c r="J394" s="294"/>
      <c r="M394" s="290" t="s">
        <v>463</v>
      </c>
      <c r="N394" s="288" t="e">
        <f>SUM(N389:N392)</f>
        <v>#DIV/0!</v>
      </c>
    </row>
    <row r="395" spans="2:16" ht="15.75" customHeight="1" x14ac:dyDescent="0.25">
      <c r="B395" s="278"/>
      <c r="C395" s="313" t="s">
        <v>264</v>
      </c>
      <c r="D395" s="314" t="s">
        <v>265</v>
      </c>
      <c r="E395" s="314" t="s">
        <v>266</v>
      </c>
      <c r="F395" s="314" t="s">
        <v>265</v>
      </c>
      <c r="G395" s="314" t="s">
        <v>267</v>
      </c>
      <c r="H395" s="314" t="s">
        <v>268</v>
      </c>
      <c r="I395" s="314" t="s">
        <v>269</v>
      </c>
      <c r="J395" s="314" t="s">
        <v>270</v>
      </c>
      <c r="K395" s="386" t="s">
        <v>462</v>
      </c>
      <c r="L395" s="386" t="s">
        <v>458</v>
      </c>
      <c r="M395" s="386"/>
      <c r="N395" s="386" t="s">
        <v>459</v>
      </c>
      <c r="O395" s="386" t="s">
        <v>460</v>
      </c>
      <c r="P395" s="386" t="s">
        <v>461</v>
      </c>
    </row>
    <row r="396" spans="2:16" ht="15.75" customHeight="1" x14ac:dyDescent="0.25">
      <c r="B396" s="293"/>
      <c r="C396" s="278"/>
      <c r="D396" s="278"/>
      <c r="E396" s="292"/>
      <c r="F396" s="278"/>
      <c r="G396" s="292"/>
      <c r="H396" s="278"/>
      <c r="I396" s="292"/>
      <c r="J396" s="294"/>
      <c r="K396" s="387">
        <f>(G396*0.005)*J396</f>
        <v>0</v>
      </c>
      <c r="L396" s="388">
        <v>0.15</v>
      </c>
      <c r="M396" s="387"/>
      <c r="N396" s="288">
        <f>K396-M396</f>
        <v>0</v>
      </c>
      <c r="O396" s="264"/>
    </row>
    <row r="397" spans="2:16" ht="15.75" customHeight="1" x14ac:dyDescent="0.25">
      <c r="B397" s="295"/>
      <c r="C397" s="278" t="s">
        <v>291</v>
      </c>
      <c r="D397" s="278"/>
      <c r="E397" s="292"/>
      <c r="F397" s="278"/>
      <c r="G397" s="292"/>
      <c r="H397" s="278"/>
      <c r="I397" s="316"/>
      <c r="J397" s="294" t="e">
        <f>G397/I397</f>
        <v>#DIV/0!</v>
      </c>
      <c r="K397" s="387" t="e">
        <f>(G397*0.005)*J397</f>
        <v>#DIV/0!</v>
      </c>
      <c r="L397" s="388">
        <v>0.15</v>
      </c>
      <c r="M397" s="387"/>
      <c r="N397" s="288" t="e">
        <f t="shared" ref="N397" si="90">K397-M397</f>
        <v>#DIV/0!</v>
      </c>
    </row>
    <row r="398" spans="2:16" ht="15.75" customHeight="1" x14ac:dyDescent="0.25">
      <c r="B398" s="295" t="s">
        <v>280</v>
      </c>
      <c r="C398" s="278" t="s">
        <v>290</v>
      </c>
      <c r="D398" s="278"/>
      <c r="E398" s="292"/>
      <c r="F398" s="278"/>
      <c r="G398" s="292"/>
      <c r="H398" s="278"/>
      <c r="I398" s="316"/>
      <c r="J398" s="294" t="e">
        <f>G398/I398</f>
        <v>#DIV/0!</v>
      </c>
      <c r="K398" s="387" t="e">
        <f>(G398*0.005)*J398</f>
        <v>#DIV/0!</v>
      </c>
      <c r="L398" s="388">
        <v>0.15</v>
      </c>
      <c r="M398" s="387"/>
      <c r="N398" s="288" t="e">
        <f>K398-M398</f>
        <v>#DIV/0!</v>
      </c>
      <c r="O398" s="264"/>
    </row>
    <row r="399" spans="2:16" ht="15.75" customHeight="1" x14ac:dyDescent="0.25">
      <c r="B399" s="295"/>
      <c r="C399" s="278" t="s">
        <v>413</v>
      </c>
      <c r="D399" s="278"/>
      <c r="E399" s="292"/>
      <c r="F399" s="278"/>
      <c r="G399" s="292"/>
      <c r="H399" s="278"/>
      <c r="I399" s="316"/>
      <c r="J399" s="294" t="e">
        <f>G399/I399</f>
        <v>#DIV/0!</v>
      </c>
      <c r="K399" s="387" t="e">
        <f>(G399*0.005)*J399</f>
        <v>#DIV/0!</v>
      </c>
      <c r="L399" s="388">
        <v>0.15</v>
      </c>
      <c r="M399" s="387"/>
      <c r="N399" s="288" t="e">
        <f t="shared" ref="N399" si="91">K399-M399</f>
        <v>#DIV/0!</v>
      </c>
    </row>
    <row r="400" spans="2:16" ht="15.75" customHeight="1" x14ac:dyDescent="0.25">
      <c r="B400" s="295"/>
      <c r="C400" s="278"/>
      <c r="D400" s="278"/>
      <c r="E400" s="303">
        <f>SUM(E397:E399)</f>
        <v>0</v>
      </c>
      <c r="F400" s="278"/>
      <c r="G400" s="303">
        <f>SUM(G397:G399)</f>
        <v>0</v>
      </c>
      <c r="H400" s="278"/>
      <c r="I400" s="292"/>
      <c r="J400" s="294"/>
      <c r="M400" s="290" t="s">
        <v>463</v>
      </c>
      <c r="N400" s="288" t="e">
        <f>SUM(N396:N399)</f>
        <v>#DIV/0!</v>
      </c>
    </row>
    <row r="401" spans="2:16" ht="15.75" customHeight="1" x14ac:dyDescent="0.25">
      <c r="B401" s="23"/>
      <c r="C401" s="313" t="s">
        <v>264</v>
      </c>
      <c r="D401" s="314" t="s">
        <v>265</v>
      </c>
      <c r="E401" s="314" t="s">
        <v>266</v>
      </c>
      <c r="F401" s="314" t="s">
        <v>265</v>
      </c>
      <c r="G401" s="314" t="s">
        <v>267</v>
      </c>
      <c r="H401" s="314" t="s">
        <v>268</v>
      </c>
      <c r="I401" s="314" t="s">
        <v>269</v>
      </c>
      <c r="J401" s="314" t="s">
        <v>270</v>
      </c>
      <c r="K401" s="386" t="s">
        <v>462</v>
      </c>
      <c r="L401" s="386" t="s">
        <v>458</v>
      </c>
      <c r="M401" s="386"/>
      <c r="N401" s="386" t="s">
        <v>459</v>
      </c>
      <c r="O401" s="386" t="s">
        <v>460</v>
      </c>
      <c r="P401" s="386" t="s">
        <v>461</v>
      </c>
    </row>
    <row r="402" spans="2:16" ht="15.75" customHeight="1" x14ac:dyDescent="0.25">
      <c r="B402" s="295"/>
      <c r="C402" s="278" t="s">
        <v>291</v>
      </c>
      <c r="D402" s="278"/>
      <c r="E402" s="292"/>
      <c r="F402" s="278"/>
      <c r="G402" s="292"/>
      <c r="H402" s="278"/>
      <c r="I402" s="292"/>
      <c r="J402" s="294" t="e">
        <f>G402/I402</f>
        <v>#DIV/0!</v>
      </c>
      <c r="K402" s="387" t="e">
        <f>(G402*0.005)*J402</f>
        <v>#DIV/0!</v>
      </c>
      <c r="L402" s="388">
        <v>0.15</v>
      </c>
      <c r="M402" s="387"/>
      <c r="N402" s="288" t="e">
        <f>K402-M402</f>
        <v>#DIV/0!</v>
      </c>
      <c r="O402" s="264"/>
    </row>
    <row r="403" spans="2:16" ht="15.75" customHeight="1" x14ac:dyDescent="0.25">
      <c r="B403" s="295"/>
      <c r="C403" s="278" t="s">
        <v>290</v>
      </c>
      <c r="D403" s="278"/>
      <c r="E403" s="292"/>
      <c r="F403" s="278"/>
      <c r="G403" s="292"/>
      <c r="H403" s="278"/>
      <c r="I403" s="292"/>
      <c r="J403" s="294" t="e">
        <f t="shared" ref="J403:J404" si="92">G403/I403</f>
        <v>#DIV/0!</v>
      </c>
      <c r="K403" s="387" t="e">
        <f>(G403*0.005)*J403</f>
        <v>#DIV/0!</v>
      </c>
      <c r="L403" s="388">
        <v>0.15</v>
      </c>
      <c r="M403" s="387"/>
      <c r="N403" s="288" t="e">
        <f t="shared" ref="N403" si="93">K403-M403</f>
        <v>#DIV/0!</v>
      </c>
    </row>
    <row r="404" spans="2:16" ht="15.75" customHeight="1" x14ac:dyDescent="0.25">
      <c r="B404" s="295" t="s">
        <v>281</v>
      </c>
      <c r="C404" s="278" t="s">
        <v>434</v>
      </c>
      <c r="D404" s="278"/>
      <c r="E404" s="292"/>
      <c r="F404" s="278"/>
      <c r="G404" s="292"/>
      <c r="H404" s="278"/>
      <c r="I404" s="292"/>
      <c r="J404" s="294" t="e">
        <f t="shared" si="92"/>
        <v>#DIV/0!</v>
      </c>
      <c r="K404" s="387" t="e">
        <f>(G404*0.005)*J404</f>
        <v>#DIV/0!</v>
      </c>
      <c r="L404" s="388">
        <v>0.15</v>
      </c>
      <c r="M404" s="387"/>
      <c r="N404" s="288" t="e">
        <f>K404-M404</f>
        <v>#DIV/0!</v>
      </c>
      <c r="O404" s="264"/>
    </row>
    <row r="405" spans="2:16" ht="15.75" customHeight="1" x14ac:dyDescent="0.25">
      <c r="B405" s="295"/>
      <c r="C405" s="278"/>
      <c r="D405" s="278"/>
      <c r="E405" s="292"/>
      <c r="F405" s="278"/>
      <c r="G405" s="292"/>
      <c r="H405" s="278"/>
      <c r="I405" s="292"/>
      <c r="J405" s="294"/>
      <c r="K405" s="387">
        <f>(G405*0.005)*J405</f>
        <v>0</v>
      </c>
      <c r="L405" s="388">
        <v>0.15</v>
      </c>
      <c r="M405" s="387"/>
      <c r="N405" s="288">
        <f t="shared" ref="N405" si="94">K405-M405</f>
        <v>0</v>
      </c>
    </row>
    <row r="406" spans="2:16" ht="15.75" customHeight="1" x14ac:dyDescent="0.25">
      <c r="B406" s="295"/>
      <c r="C406" s="278"/>
      <c r="D406" s="278"/>
      <c r="E406" s="303">
        <f>SUM(E397:E402)</f>
        <v>0</v>
      </c>
      <c r="F406" s="278"/>
      <c r="G406" s="303">
        <f>SUM(G397:G402)</f>
        <v>0</v>
      </c>
      <c r="H406" s="278"/>
      <c r="I406" s="292"/>
      <c r="J406" s="294"/>
      <c r="M406" s="290" t="s">
        <v>463</v>
      </c>
      <c r="N406" s="288" t="e">
        <f>SUM(N402:N405)</f>
        <v>#DIV/0!</v>
      </c>
    </row>
    <row r="407" spans="2:16" ht="15.75" customHeight="1" x14ac:dyDescent="0.25">
      <c r="B407" s="278"/>
      <c r="C407" s="313" t="s">
        <v>264</v>
      </c>
      <c r="D407" s="314" t="s">
        <v>265</v>
      </c>
      <c r="E407" s="314" t="s">
        <v>266</v>
      </c>
      <c r="F407" s="314" t="s">
        <v>265</v>
      </c>
      <c r="G407" s="314" t="s">
        <v>267</v>
      </c>
      <c r="H407" s="314" t="s">
        <v>268</v>
      </c>
      <c r="I407" s="314" t="s">
        <v>269</v>
      </c>
      <c r="J407" s="314" t="s">
        <v>270</v>
      </c>
      <c r="K407" s="386" t="s">
        <v>462</v>
      </c>
      <c r="L407" s="386" t="s">
        <v>458</v>
      </c>
      <c r="M407" s="386"/>
      <c r="N407" s="386" t="s">
        <v>459</v>
      </c>
      <c r="O407" s="386" t="s">
        <v>460</v>
      </c>
      <c r="P407" s="386" t="s">
        <v>461</v>
      </c>
    </row>
    <row r="408" spans="2:16" ht="15.75" customHeight="1" x14ac:dyDescent="0.25">
      <c r="B408" s="293"/>
      <c r="C408" s="278" t="s">
        <v>291</v>
      </c>
      <c r="D408" s="278"/>
      <c r="E408" s="292"/>
      <c r="F408" s="278"/>
      <c r="G408" s="292"/>
      <c r="H408" s="278"/>
      <c r="I408" s="292"/>
      <c r="J408" s="294" t="e">
        <f>G408/I408</f>
        <v>#DIV/0!</v>
      </c>
      <c r="K408" s="387" t="e">
        <f>(G408*0.005)*J408</f>
        <v>#DIV/0!</v>
      </c>
      <c r="L408" s="388">
        <v>0.15</v>
      </c>
      <c r="M408" s="387"/>
      <c r="N408" s="288" t="e">
        <f>K408-M408</f>
        <v>#DIV/0!</v>
      </c>
      <c r="O408" s="264"/>
    </row>
    <row r="409" spans="2:16" ht="15.75" customHeight="1" x14ac:dyDescent="0.25">
      <c r="B409" s="295"/>
      <c r="C409" s="278" t="s">
        <v>290</v>
      </c>
      <c r="D409" s="278"/>
      <c r="E409" s="292"/>
      <c r="F409" s="278"/>
      <c r="G409" s="292"/>
      <c r="H409" s="278"/>
      <c r="I409" s="292"/>
      <c r="J409" s="294" t="e">
        <f>G409/I409</f>
        <v>#DIV/0!</v>
      </c>
      <c r="K409" s="387" t="e">
        <f>(G409*0.005)*J409</f>
        <v>#DIV/0!</v>
      </c>
      <c r="L409" s="388">
        <v>0.15</v>
      </c>
      <c r="M409" s="387"/>
      <c r="N409" s="288" t="e">
        <f t="shared" ref="N409" si="95">K409-M409</f>
        <v>#DIV/0!</v>
      </c>
    </row>
    <row r="410" spans="2:16" ht="15.75" customHeight="1" x14ac:dyDescent="0.25">
      <c r="B410" s="295" t="s">
        <v>282</v>
      </c>
      <c r="C410" s="278" t="s">
        <v>434</v>
      </c>
      <c r="D410" s="278"/>
      <c r="E410" s="292"/>
      <c r="F410" s="278"/>
      <c r="G410" s="292"/>
      <c r="H410" s="278"/>
      <c r="I410" s="292"/>
      <c r="J410" s="294" t="e">
        <f>G410/I410</f>
        <v>#DIV/0!</v>
      </c>
      <c r="K410" s="387" t="e">
        <f>(G410*0.005)*J410</f>
        <v>#DIV/0!</v>
      </c>
      <c r="L410" s="388">
        <v>0.15</v>
      </c>
      <c r="M410" s="387"/>
      <c r="N410" s="288" t="e">
        <f>K410-M410</f>
        <v>#DIV/0!</v>
      </c>
      <c r="O410" s="264"/>
    </row>
    <row r="411" spans="2:16" ht="15.75" customHeight="1" x14ac:dyDescent="0.25">
      <c r="B411" s="295"/>
      <c r="C411" s="278"/>
      <c r="D411" s="278"/>
      <c r="E411" s="292"/>
      <c r="F411" s="278"/>
      <c r="G411" s="292"/>
      <c r="H411" s="278"/>
      <c r="I411" s="292"/>
      <c r="J411" s="294"/>
      <c r="K411" s="387">
        <f>(G411*0.005)*J411</f>
        <v>0</v>
      </c>
      <c r="L411" s="388">
        <v>0.15</v>
      </c>
      <c r="M411" s="387"/>
      <c r="N411" s="288">
        <f t="shared" ref="N411" si="96">K411-M411</f>
        <v>0</v>
      </c>
    </row>
    <row r="412" spans="2:16" ht="15.75" customHeight="1" x14ac:dyDescent="0.25">
      <c r="B412" s="295"/>
      <c r="C412" s="278"/>
      <c r="D412" s="278"/>
      <c r="E412" s="399">
        <f>SUM(E408:E411)</f>
        <v>0</v>
      </c>
      <c r="F412" s="278"/>
      <c r="G412" s="399">
        <f>SUM(G408:G411)</f>
        <v>0</v>
      </c>
      <c r="H412" s="278"/>
      <c r="I412" s="292"/>
      <c r="J412" s="294"/>
      <c r="K412" s="387"/>
      <c r="L412" s="388"/>
      <c r="M412" s="387"/>
      <c r="N412" s="288"/>
    </row>
    <row r="413" spans="2:16" ht="15.75" customHeight="1" x14ac:dyDescent="0.25">
      <c r="B413" s="295"/>
      <c r="C413" s="278"/>
      <c r="D413" s="278"/>
      <c r="E413" s="292"/>
      <c r="F413" s="278"/>
      <c r="G413" s="292"/>
      <c r="H413" s="278"/>
      <c r="I413" s="292"/>
      <c r="J413" s="294"/>
      <c r="M413" s="290" t="s">
        <v>463</v>
      </c>
      <c r="N413" s="288" t="e">
        <f>SUM(N408:N411)</f>
        <v>#DIV/0!</v>
      </c>
    </row>
    <row r="414" spans="2:16" ht="15.75" customHeight="1" x14ac:dyDescent="0.25">
      <c r="C414" s="291"/>
      <c r="D414" s="291"/>
      <c r="E414" s="291"/>
      <c r="F414" s="291"/>
      <c r="M414" s="290" t="s">
        <v>467</v>
      </c>
      <c r="N414" s="395" t="e">
        <f>SUM(N340+N347+N354+N361+N368+N374+N380+N387+N394+N400+N406+N413)</f>
        <v>#DIV/0!</v>
      </c>
    </row>
    <row r="415" spans="2:16" ht="15.75" customHeight="1" x14ac:dyDescent="0.25">
      <c r="B415" s="23"/>
      <c r="C415" s="184"/>
      <c r="D415" s="36"/>
      <c r="E415" s="36"/>
    </row>
  </sheetData>
  <mergeCells count="1">
    <mergeCell ref="B2:N3"/>
  </mergeCells>
  <pageMargins left="0.75" right="0.75" top="1" bottom="1" header="0.5" footer="0.5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T386"/>
  <sheetViews>
    <sheetView topLeftCell="A264" zoomScaleNormal="100" workbookViewId="0">
      <pane xSplit="2" topLeftCell="C1" activePane="topRight" state="frozen"/>
      <selection pane="topRight" activeCell="C289" sqref="C289"/>
    </sheetView>
  </sheetViews>
  <sheetFormatPr defaultColWidth="14.5703125" defaultRowHeight="15" x14ac:dyDescent="0.25"/>
  <cols>
    <col min="1" max="1" width="4.42578125" customWidth="1"/>
    <col min="2" max="2" width="31.140625" customWidth="1"/>
    <col min="3" max="3" width="17.140625" customWidth="1"/>
    <col min="4" max="4" width="17.28515625" customWidth="1"/>
    <col min="5" max="5" width="21.7109375" customWidth="1"/>
    <col min="6" max="6" width="18.28515625" customWidth="1"/>
    <col min="7" max="7" width="19.7109375" bestFit="1" customWidth="1"/>
    <col min="8" max="8" width="18.140625" customWidth="1"/>
    <col min="9" max="9" width="20.42578125" customWidth="1"/>
    <col min="10" max="10" width="20" bestFit="1" customWidth="1"/>
    <col min="11" max="12" width="17.5703125" customWidth="1"/>
    <col min="13" max="13" width="17.140625" customWidth="1"/>
    <col min="14" max="14" width="19" customWidth="1"/>
    <col min="15" max="15" width="23.7109375" customWidth="1"/>
  </cols>
  <sheetData>
    <row r="1" spans="2:20" ht="15.75" customHeight="1" x14ac:dyDescent="0.25">
      <c r="B1" s="687" t="s">
        <v>136</v>
      </c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8"/>
      <c r="N1" s="689"/>
    </row>
    <row r="2" spans="2:20" ht="16.5" customHeight="1" x14ac:dyDescent="0.25">
      <c r="B2" s="690"/>
      <c r="C2" s="691"/>
      <c r="D2" s="691"/>
      <c r="E2" s="691"/>
      <c r="F2" s="691"/>
      <c r="G2" s="691"/>
      <c r="H2" s="691"/>
      <c r="I2" s="691"/>
      <c r="J2" s="691"/>
      <c r="K2" s="691"/>
      <c r="L2" s="691"/>
      <c r="M2" s="691"/>
      <c r="N2" s="692"/>
    </row>
    <row r="4" spans="2:20" ht="15.75" customHeight="1" x14ac:dyDescent="0.25">
      <c r="B4" s="1">
        <v>2021</v>
      </c>
      <c r="C4" s="2" t="s">
        <v>0</v>
      </c>
      <c r="D4" s="2" t="s">
        <v>1</v>
      </c>
      <c r="E4" s="2" t="s">
        <v>2</v>
      </c>
      <c r="F4" s="2" t="s">
        <v>3</v>
      </c>
      <c r="G4" s="3" t="s">
        <v>4</v>
      </c>
      <c r="H4" s="2" t="s">
        <v>5</v>
      </c>
      <c r="I4" s="2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19" t="s">
        <v>11</v>
      </c>
      <c r="O4" s="42"/>
      <c r="P4" s="42"/>
      <c r="Q4" s="43"/>
      <c r="R4" s="4"/>
      <c r="T4" s="44"/>
    </row>
    <row r="5" spans="2:20" ht="19.5" customHeight="1" x14ac:dyDescent="0.3">
      <c r="B5" s="37" t="s">
        <v>12</v>
      </c>
      <c r="C5" s="7"/>
      <c r="D5" s="7"/>
      <c r="E5" s="7"/>
      <c r="F5" s="7"/>
      <c r="G5" s="7"/>
      <c r="H5" s="7"/>
      <c r="I5" s="7"/>
      <c r="J5" s="7"/>
      <c r="K5" s="7"/>
      <c r="L5" s="7"/>
      <c r="M5" s="7">
        <v>5000</v>
      </c>
      <c r="N5" s="7">
        <v>5000</v>
      </c>
      <c r="O5" s="13"/>
      <c r="P5" s="13"/>
      <c r="Q5" s="13"/>
      <c r="R5" s="12"/>
      <c r="T5" s="36"/>
    </row>
    <row r="6" spans="2:20" ht="15.75" customHeight="1" x14ac:dyDescent="0.25">
      <c r="B6" s="45" t="s">
        <v>13</v>
      </c>
      <c r="C6" s="46"/>
      <c r="D6" s="46"/>
      <c r="E6" s="46"/>
      <c r="F6" s="46"/>
      <c r="G6" s="46"/>
      <c r="H6" s="46"/>
      <c r="I6" s="46"/>
      <c r="J6" s="46"/>
      <c r="K6" s="4"/>
      <c r="L6" s="4"/>
      <c r="M6" s="4">
        <v>1562.81</v>
      </c>
      <c r="N6" s="4">
        <v>823.37</v>
      </c>
      <c r="O6" s="33"/>
      <c r="P6" s="33"/>
      <c r="Q6" s="33"/>
    </row>
    <row r="7" spans="2:20" ht="15.75" customHeight="1" x14ac:dyDescent="0.25">
      <c r="B7" s="47" t="s">
        <v>14</v>
      </c>
      <c r="C7" s="48"/>
      <c r="D7" s="48"/>
      <c r="E7" s="48"/>
      <c r="F7" s="48"/>
      <c r="G7" s="46"/>
      <c r="H7" s="46"/>
      <c r="I7" s="46"/>
      <c r="J7" s="48"/>
      <c r="K7" s="4"/>
      <c r="L7" s="12"/>
      <c r="M7" s="12">
        <v>3895.4</v>
      </c>
      <c r="N7" s="12">
        <v>3174</v>
      </c>
      <c r="O7" s="41"/>
      <c r="P7" s="41"/>
      <c r="Q7" s="41"/>
      <c r="R7" s="12"/>
    </row>
    <row r="8" spans="2:20" ht="19.5" customHeight="1" x14ac:dyDescent="0.3">
      <c r="B8" s="11" t="s">
        <v>15</v>
      </c>
      <c r="C8" s="48"/>
      <c r="D8" s="48"/>
      <c r="E8" s="48"/>
      <c r="F8" s="48"/>
      <c r="G8" s="48"/>
      <c r="H8" s="48"/>
      <c r="I8" s="48"/>
      <c r="J8" s="48"/>
      <c r="K8" s="49"/>
      <c r="L8" s="48"/>
      <c r="M8" s="50">
        <f>M6+M7</f>
        <v>5458.21</v>
      </c>
      <c r="N8" s="51">
        <f>N7+N6</f>
        <v>3997.37</v>
      </c>
      <c r="O8" s="31"/>
      <c r="P8" s="31"/>
      <c r="Q8" s="31"/>
    </row>
    <row r="9" spans="2:20" ht="15.75" hidden="1" customHeight="1" x14ac:dyDescent="0.25">
      <c r="B9" s="14" t="s">
        <v>111</v>
      </c>
      <c r="N9" s="52"/>
      <c r="O9" s="22"/>
      <c r="P9" s="22"/>
      <c r="Q9" s="22"/>
    </row>
    <row r="10" spans="2:20" ht="15.75" hidden="1" customHeight="1" x14ac:dyDescent="0.25">
      <c r="B10" s="14"/>
      <c r="O10" s="22"/>
      <c r="P10" s="22"/>
      <c r="Q10" s="22"/>
    </row>
    <row r="11" spans="2:20" ht="15.75" hidden="1" customHeight="1" x14ac:dyDescent="0.25">
      <c r="B11" s="3">
        <v>2021</v>
      </c>
      <c r="C11" s="19" t="s">
        <v>0</v>
      </c>
      <c r="D11" s="19" t="s">
        <v>1</v>
      </c>
      <c r="E11" s="19" t="s">
        <v>2</v>
      </c>
      <c r="F11" s="19" t="s">
        <v>3</v>
      </c>
      <c r="G11" s="19" t="s">
        <v>4</v>
      </c>
      <c r="H11" s="19" t="s">
        <v>5</v>
      </c>
      <c r="I11" s="19" t="s">
        <v>6</v>
      </c>
      <c r="J11" s="19" t="s">
        <v>7</v>
      </c>
      <c r="K11" s="19" t="s">
        <v>8</v>
      </c>
      <c r="L11" s="19" t="s">
        <v>9</v>
      </c>
      <c r="M11" s="19" t="s">
        <v>10</v>
      </c>
      <c r="N11" s="19" t="s">
        <v>11</v>
      </c>
    </row>
    <row r="12" spans="2:20" ht="19.5" hidden="1" customHeight="1" x14ac:dyDescent="0.3">
      <c r="B12" s="23" t="s">
        <v>22</v>
      </c>
      <c r="G12" s="22"/>
      <c r="M12" s="53">
        <f>7+47</f>
        <v>54</v>
      </c>
      <c r="N12" s="7">
        <v>31</v>
      </c>
    </row>
    <row r="13" spans="2:20" ht="15.75" hidden="1" customHeight="1" x14ac:dyDescent="0.25">
      <c r="B13" s="23" t="s">
        <v>23</v>
      </c>
      <c r="M13">
        <f>448+132</f>
        <v>580</v>
      </c>
      <c r="N13">
        <v>218</v>
      </c>
    </row>
    <row r="14" spans="2:20" ht="15.75" hidden="1" customHeight="1" x14ac:dyDescent="0.25">
      <c r="B14" s="23" t="s">
        <v>20</v>
      </c>
      <c r="C14" s="38" t="e">
        <f t="shared" ref="C14:N14" si="0">C8/C12</f>
        <v>#DIV/0!</v>
      </c>
      <c r="D14" s="38" t="e">
        <f t="shared" si="0"/>
        <v>#DIV/0!</v>
      </c>
      <c r="E14" s="38" t="e">
        <f t="shared" si="0"/>
        <v>#DIV/0!</v>
      </c>
      <c r="F14" s="38" t="e">
        <f t="shared" si="0"/>
        <v>#DIV/0!</v>
      </c>
      <c r="G14" s="38" t="e">
        <f t="shared" si="0"/>
        <v>#DIV/0!</v>
      </c>
      <c r="H14" s="38" t="e">
        <f t="shared" si="0"/>
        <v>#DIV/0!</v>
      </c>
      <c r="I14" s="38" t="e">
        <f t="shared" si="0"/>
        <v>#DIV/0!</v>
      </c>
      <c r="J14" s="38" t="e">
        <f t="shared" si="0"/>
        <v>#DIV/0!</v>
      </c>
      <c r="K14" s="38" t="e">
        <f t="shared" si="0"/>
        <v>#DIV/0!</v>
      </c>
      <c r="L14" s="38" t="e">
        <f t="shared" si="0"/>
        <v>#DIV/0!</v>
      </c>
      <c r="M14" s="38">
        <f t="shared" si="0"/>
        <v>101.07796296296296</v>
      </c>
      <c r="N14" s="38">
        <f t="shared" si="0"/>
        <v>128.9474193548387</v>
      </c>
    </row>
    <row r="15" spans="2:20" ht="15.75" hidden="1" customHeight="1" x14ac:dyDescent="0.25">
      <c r="B15" s="23" t="s">
        <v>24</v>
      </c>
      <c r="C15" s="24"/>
      <c r="D15" s="24"/>
      <c r="E15" s="24"/>
      <c r="F15" s="24"/>
      <c r="G15" s="24"/>
      <c r="H15" s="24"/>
      <c r="I15" s="24"/>
      <c r="J15" s="24"/>
      <c r="K15" s="24"/>
      <c r="L15" s="54" t="s">
        <v>137</v>
      </c>
      <c r="M15" s="55">
        <v>0.8</v>
      </c>
      <c r="N15" s="54" t="s">
        <v>137</v>
      </c>
    </row>
    <row r="16" spans="2:20" ht="15.75" hidden="1" customHeight="1" x14ac:dyDescent="0.25">
      <c r="H16" s="9"/>
    </row>
    <row r="18" spans="2:20" ht="15.75" customHeight="1" x14ac:dyDescent="0.25">
      <c r="B18" s="1">
        <v>2022</v>
      </c>
      <c r="C18" s="2" t="s">
        <v>0</v>
      </c>
      <c r="D18" s="2" t="s">
        <v>1</v>
      </c>
      <c r="E18" s="3" t="s">
        <v>2</v>
      </c>
      <c r="F18" s="3" t="s">
        <v>3</v>
      </c>
      <c r="G18" s="3" t="s">
        <v>4</v>
      </c>
      <c r="H18" s="2" t="s">
        <v>5</v>
      </c>
      <c r="I18" s="2" t="s">
        <v>6</v>
      </c>
      <c r="J18" s="3" t="s">
        <v>7</v>
      </c>
      <c r="K18" s="3" t="s">
        <v>8</v>
      </c>
      <c r="L18" s="3" t="s">
        <v>9</v>
      </c>
      <c r="M18" s="3" t="s">
        <v>10</v>
      </c>
      <c r="N18" s="2" t="s">
        <v>11</v>
      </c>
      <c r="O18" s="42"/>
      <c r="P18" s="42"/>
      <c r="Q18" s="43"/>
      <c r="R18" s="4"/>
      <c r="T18" s="44"/>
    </row>
    <row r="19" spans="2:20" ht="19.5" customHeight="1" x14ac:dyDescent="0.3">
      <c r="B19" s="37" t="s">
        <v>25</v>
      </c>
      <c r="C19" s="7" t="s">
        <v>98</v>
      </c>
      <c r="D19" s="7">
        <v>5000</v>
      </c>
      <c r="E19" s="7">
        <v>5000</v>
      </c>
      <c r="F19" s="7">
        <v>5000</v>
      </c>
      <c r="G19" s="7">
        <v>5000</v>
      </c>
      <c r="H19" s="7">
        <v>5000</v>
      </c>
      <c r="I19" s="7">
        <v>5000</v>
      </c>
      <c r="J19" s="7">
        <v>10000</v>
      </c>
      <c r="K19" s="7">
        <v>10000</v>
      </c>
      <c r="L19" s="7">
        <v>10000</v>
      </c>
      <c r="M19" s="7">
        <v>10000</v>
      </c>
      <c r="N19" s="7">
        <v>10000</v>
      </c>
      <c r="O19" s="13">
        <f>SUM(C19:N19)</f>
        <v>80000</v>
      </c>
      <c r="P19" s="13"/>
      <c r="Q19" s="13"/>
      <c r="R19" s="12"/>
      <c r="T19" s="36"/>
    </row>
    <row r="20" spans="2:20" ht="15.75" x14ac:dyDescent="0.25">
      <c r="B20" s="45" t="s">
        <v>13</v>
      </c>
      <c r="C20" s="46">
        <v>1555.71</v>
      </c>
      <c r="D20" s="46">
        <v>2908.27</v>
      </c>
      <c r="E20" s="46">
        <v>1526.85</v>
      </c>
      <c r="F20" s="46">
        <v>3834.66</v>
      </c>
      <c r="G20" s="46">
        <v>2247.7800000000002</v>
      </c>
      <c r="H20" s="46">
        <v>2418.9699999999998</v>
      </c>
      <c r="I20" s="46">
        <v>2641.18</v>
      </c>
      <c r="J20" s="46">
        <v>2386.0300000000002</v>
      </c>
      <c r="K20" s="4">
        <v>5877.92</v>
      </c>
      <c r="L20" s="4">
        <v>5034.3</v>
      </c>
      <c r="M20" s="4">
        <v>6293</v>
      </c>
      <c r="N20" s="4">
        <v>2980.1</v>
      </c>
      <c r="O20" s="91"/>
      <c r="P20" s="33"/>
      <c r="Q20" s="33"/>
    </row>
    <row r="21" spans="2:20" ht="15.75" x14ac:dyDescent="0.25">
      <c r="B21" s="47" t="s">
        <v>14</v>
      </c>
      <c r="C21" s="48">
        <v>3563.6</v>
      </c>
      <c r="D21" s="48">
        <v>3235.2</v>
      </c>
      <c r="E21" s="48">
        <v>3664.2</v>
      </c>
      <c r="F21" s="46">
        <v>3330.2</v>
      </c>
      <c r="G21" s="46">
        <v>4629.88</v>
      </c>
      <c r="H21" s="46">
        <v>4507.2</v>
      </c>
      <c r="I21" s="46">
        <v>3807.7</v>
      </c>
      <c r="J21" s="48">
        <v>7884.42</v>
      </c>
      <c r="K21" s="4">
        <v>4748</v>
      </c>
      <c r="L21" s="12">
        <v>5556</v>
      </c>
      <c r="M21" s="12">
        <v>5414</v>
      </c>
      <c r="N21" s="12">
        <v>3950</v>
      </c>
      <c r="O21" s="91"/>
      <c r="P21" s="41"/>
      <c r="Q21" s="41"/>
      <c r="R21" s="12"/>
    </row>
    <row r="22" spans="2:20" ht="16.5" customHeight="1" x14ac:dyDescent="0.3">
      <c r="B22" s="11" t="s">
        <v>32</v>
      </c>
      <c r="C22" s="70">
        <f t="shared" ref="C22:N22" si="1">C20+C21</f>
        <v>5119.3099999999995</v>
      </c>
      <c r="D22" s="70">
        <f t="shared" si="1"/>
        <v>6143.4699999999993</v>
      </c>
      <c r="E22" s="70">
        <f t="shared" si="1"/>
        <v>5191.0499999999993</v>
      </c>
      <c r="F22" s="78">
        <f t="shared" si="1"/>
        <v>7164.86</v>
      </c>
      <c r="G22" s="70">
        <f t="shared" si="1"/>
        <v>6877.66</v>
      </c>
      <c r="H22" s="70">
        <f t="shared" si="1"/>
        <v>6926.17</v>
      </c>
      <c r="I22" s="70">
        <f t="shared" si="1"/>
        <v>6448.8799999999992</v>
      </c>
      <c r="J22" s="70">
        <f t="shared" si="1"/>
        <v>10270.450000000001</v>
      </c>
      <c r="K22" s="70">
        <f t="shared" si="1"/>
        <v>10625.92</v>
      </c>
      <c r="L22" s="70">
        <f t="shared" si="1"/>
        <v>10590.3</v>
      </c>
      <c r="M22" s="69">
        <f t="shared" si="1"/>
        <v>11707</v>
      </c>
      <c r="N22" s="99">
        <f t="shared" si="1"/>
        <v>6930.1</v>
      </c>
      <c r="O22" s="73">
        <f>SUM(C22:N22)</f>
        <v>93995.17</v>
      </c>
      <c r="P22" s="31"/>
      <c r="Q22" s="31"/>
    </row>
    <row r="23" spans="2:20" ht="15.75" hidden="1" customHeight="1" x14ac:dyDescent="0.25">
      <c r="B23" s="14" t="s">
        <v>26</v>
      </c>
      <c r="O23" s="22"/>
      <c r="P23" s="22"/>
      <c r="Q23" s="22"/>
    </row>
    <row r="24" spans="2:20" ht="15.75" hidden="1" customHeight="1" x14ac:dyDescent="0.25">
      <c r="B24" s="14" t="s">
        <v>17</v>
      </c>
      <c r="C24" s="17"/>
      <c r="D24" s="17"/>
      <c r="E24" s="17"/>
      <c r="F24" s="17"/>
      <c r="G24" s="17"/>
      <c r="H24" s="17"/>
      <c r="I24" s="17"/>
      <c r="J24" s="17"/>
      <c r="O24" s="43"/>
      <c r="P24" s="43"/>
      <c r="Q24" s="43"/>
    </row>
    <row r="25" spans="2:20" ht="15.75" hidden="1" customHeight="1" x14ac:dyDescent="0.25">
      <c r="B25" s="14"/>
      <c r="C25" s="17"/>
      <c r="D25" s="17"/>
      <c r="E25" s="17"/>
      <c r="F25" s="17"/>
      <c r="G25" s="17"/>
      <c r="H25" s="17"/>
      <c r="I25" s="17"/>
      <c r="J25" s="17"/>
      <c r="O25" s="43"/>
      <c r="P25" s="43"/>
      <c r="Q25" s="43"/>
    </row>
    <row r="26" spans="2:20" ht="15.75" hidden="1" customHeight="1" x14ac:dyDescent="0.3">
      <c r="B26" s="5" t="s">
        <v>34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2:20" ht="15.75" hidden="1" customHeight="1" x14ac:dyDescent="0.25">
      <c r="B27" s="14" t="s">
        <v>34</v>
      </c>
      <c r="C27" s="18">
        <v>10000</v>
      </c>
      <c r="D27" s="18"/>
      <c r="E27" s="18"/>
      <c r="F27" s="18"/>
      <c r="G27" s="18"/>
      <c r="H27" s="18"/>
      <c r="I27" s="18"/>
      <c r="J27" s="18"/>
      <c r="K27" s="18"/>
      <c r="L27" s="18"/>
      <c r="M27" s="95">
        <v>14393.28</v>
      </c>
      <c r="N27" s="18">
        <f>N28+N29</f>
        <v>8296.35</v>
      </c>
    </row>
    <row r="28" spans="2:20" ht="15.75" hidden="1" customHeight="1" x14ac:dyDescent="0.25">
      <c r="B28" s="14" t="s">
        <v>36</v>
      </c>
      <c r="C28" s="18">
        <v>2000</v>
      </c>
      <c r="D28" s="18"/>
      <c r="E28" s="18"/>
      <c r="F28" s="18"/>
      <c r="G28" s="18"/>
      <c r="H28" s="18"/>
      <c r="I28" s="18"/>
      <c r="J28" s="18"/>
      <c r="K28" s="18"/>
      <c r="L28" s="18"/>
      <c r="M28" s="96">
        <v>7652.82</v>
      </c>
      <c r="N28" s="18">
        <v>4604.12</v>
      </c>
    </row>
    <row r="29" spans="2:20" ht="15.75" hidden="1" customHeight="1" x14ac:dyDescent="0.25">
      <c r="B29" s="82" t="s">
        <v>37</v>
      </c>
      <c r="C29" s="84">
        <v>8000</v>
      </c>
      <c r="D29" s="84"/>
      <c r="E29" s="84"/>
      <c r="F29" s="84"/>
      <c r="G29" s="84"/>
      <c r="H29" s="84"/>
      <c r="I29" s="84"/>
      <c r="J29" s="84"/>
      <c r="K29" s="84"/>
      <c r="L29" s="84"/>
      <c r="M29" s="84">
        <v>6740.46</v>
      </c>
      <c r="N29" s="84">
        <v>3692.23</v>
      </c>
    </row>
    <row r="30" spans="2:20" ht="15.75" hidden="1" customHeight="1" x14ac:dyDescent="0.25">
      <c r="B30" s="14" t="s">
        <v>38</v>
      </c>
      <c r="C30" s="85">
        <f t="shared" ref="C30:N30" si="2">C28/C27</f>
        <v>0.2</v>
      </c>
      <c r="D30" s="85" t="e">
        <f t="shared" si="2"/>
        <v>#DIV/0!</v>
      </c>
      <c r="E30" s="85" t="e">
        <f t="shared" si="2"/>
        <v>#DIV/0!</v>
      </c>
      <c r="F30" s="85" t="e">
        <f t="shared" si="2"/>
        <v>#DIV/0!</v>
      </c>
      <c r="G30" s="85" t="e">
        <f t="shared" si="2"/>
        <v>#DIV/0!</v>
      </c>
      <c r="H30" s="85" t="e">
        <f t="shared" si="2"/>
        <v>#DIV/0!</v>
      </c>
      <c r="I30" s="85" t="e">
        <f t="shared" si="2"/>
        <v>#DIV/0!</v>
      </c>
      <c r="J30" s="85" t="e">
        <f t="shared" si="2"/>
        <v>#DIV/0!</v>
      </c>
      <c r="K30" s="85" t="e">
        <f t="shared" si="2"/>
        <v>#DIV/0!</v>
      </c>
      <c r="L30" s="85" t="e">
        <f t="shared" si="2"/>
        <v>#DIV/0!</v>
      </c>
      <c r="M30" s="85">
        <f t="shared" si="2"/>
        <v>0.53169395718001733</v>
      </c>
      <c r="N30" s="85">
        <f t="shared" si="2"/>
        <v>0.55495730049961722</v>
      </c>
      <c r="Q30" s="22"/>
    </row>
    <row r="31" spans="2:20" ht="15.75" hidden="1" customHeight="1" x14ac:dyDescent="0.25">
      <c r="B31" s="14"/>
      <c r="C31" s="17"/>
      <c r="D31" s="17"/>
      <c r="E31" s="17"/>
      <c r="F31" s="17"/>
      <c r="G31" s="17"/>
      <c r="H31" s="17"/>
      <c r="I31" s="17"/>
      <c r="J31" s="17"/>
      <c r="O31" s="43"/>
      <c r="P31" s="43"/>
      <c r="Q31" s="43"/>
    </row>
    <row r="32" spans="2:20" ht="15.75" hidden="1" customHeight="1" x14ac:dyDescent="0.25">
      <c r="B32" s="3" t="s">
        <v>21</v>
      </c>
      <c r="C32" s="19" t="s">
        <v>0</v>
      </c>
      <c r="D32" s="19" t="s">
        <v>1</v>
      </c>
      <c r="E32" s="19" t="s">
        <v>2</v>
      </c>
      <c r="F32" s="19" t="s">
        <v>3</v>
      </c>
      <c r="G32" s="19" t="s">
        <v>4</v>
      </c>
      <c r="H32" s="19" t="s">
        <v>5</v>
      </c>
      <c r="I32" s="19" t="s">
        <v>6</v>
      </c>
      <c r="J32" s="19" t="s">
        <v>7</v>
      </c>
      <c r="K32" s="19" t="s">
        <v>8</v>
      </c>
      <c r="L32" s="19" t="s">
        <v>9</v>
      </c>
      <c r="M32" s="19" t="s">
        <v>10</v>
      </c>
      <c r="N32" s="19" t="s">
        <v>11</v>
      </c>
    </row>
    <row r="33" spans="2:20" ht="15.75" hidden="1" customHeight="1" x14ac:dyDescent="0.25">
      <c r="B33" s="23" t="s">
        <v>39</v>
      </c>
      <c r="C33" s="17"/>
      <c r="D33" s="17"/>
      <c r="E33" s="17"/>
      <c r="F33" s="17"/>
      <c r="G33" s="17"/>
      <c r="H33" s="17"/>
      <c r="I33" s="17">
        <v>26</v>
      </c>
      <c r="J33" s="17">
        <v>34</v>
      </c>
      <c r="K33" s="17">
        <v>29</v>
      </c>
      <c r="L33" s="17">
        <v>39</v>
      </c>
      <c r="M33" s="17">
        <v>42</v>
      </c>
      <c r="N33" s="17">
        <v>33</v>
      </c>
    </row>
    <row r="34" spans="2:20" ht="15.75" hidden="1" customHeight="1" x14ac:dyDescent="0.25">
      <c r="B34" s="23" t="s">
        <v>22</v>
      </c>
      <c r="C34">
        <f>7+35</f>
        <v>42</v>
      </c>
      <c r="D34">
        <v>47</v>
      </c>
      <c r="E34">
        <f>6+50</f>
        <v>56</v>
      </c>
      <c r="F34">
        <f>7+35</f>
        <v>42</v>
      </c>
      <c r="G34" s="22">
        <f>59+8</f>
        <v>67</v>
      </c>
      <c r="H34">
        <f>61+8</f>
        <v>69</v>
      </c>
      <c r="I34">
        <f>52+12</f>
        <v>64</v>
      </c>
      <c r="J34">
        <f>67+12</f>
        <v>79</v>
      </c>
      <c r="K34">
        <f>12+54</f>
        <v>66</v>
      </c>
      <c r="L34">
        <f>63+10</f>
        <v>73</v>
      </c>
      <c r="M34">
        <v>83</v>
      </c>
      <c r="N34">
        <v>58</v>
      </c>
    </row>
    <row r="35" spans="2:20" ht="15.75" hidden="1" customHeight="1" x14ac:dyDescent="0.25">
      <c r="B35" s="23" t="s">
        <v>23</v>
      </c>
      <c r="C35">
        <f>154+120</f>
        <v>274</v>
      </c>
      <c r="D35">
        <v>260</v>
      </c>
      <c r="E35">
        <f>194+231</f>
        <v>425</v>
      </c>
      <c r="F35">
        <f>175+312</f>
        <v>487</v>
      </c>
      <c r="G35">
        <f>186+139</f>
        <v>325</v>
      </c>
      <c r="H35">
        <f>246+224</f>
        <v>470</v>
      </c>
      <c r="I35">
        <f>139+182</f>
        <v>321</v>
      </c>
      <c r="J35">
        <f>127+386</f>
        <v>513</v>
      </c>
      <c r="K35">
        <f>293+294</f>
        <v>587</v>
      </c>
      <c r="L35">
        <f>327+368</f>
        <v>695</v>
      </c>
      <c r="M35">
        <v>951</v>
      </c>
      <c r="N35">
        <v>513</v>
      </c>
    </row>
    <row r="36" spans="2:20" ht="15.75" hidden="1" customHeight="1" x14ac:dyDescent="0.25">
      <c r="B36" s="23" t="s">
        <v>20</v>
      </c>
      <c r="C36" s="38">
        <f t="shared" ref="C36:N36" si="3">C22/C34</f>
        <v>121.88833333333332</v>
      </c>
      <c r="D36" s="38">
        <f t="shared" si="3"/>
        <v>130.71212765957446</v>
      </c>
      <c r="E36" s="38">
        <f t="shared" si="3"/>
        <v>92.697321428571414</v>
      </c>
      <c r="F36" s="38">
        <f t="shared" si="3"/>
        <v>170.59190476190474</v>
      </c>
      <c r="G36" s="38">
        <f t="shared" si="3"/>
        <v>102.65164179104477</v>
      </c>
      <c r="H36" s="38">
        <f t="shared" si="3"/>
        <v>100.37927536231884</v>
      </c>
      <c r="I36" s="38">
        <f t="shared" si="3"/>
        <v>100.76374999999999</v>
      </c>
      <c r="J36" s="38">
        <f t="shared" si="3"/>
        <v>130.00569620253165</v>
      </c>
      <c r="K36" s="38">
        <f t="shared" si="3"/>
        <v>160.99878787878788</v>
      </c>
      <c r="L36" s="38">
        <f t="shared" si="3"/>
        <v>145.07260273972602</v>
      </c>
      <c r="M36" s="38">
        <f t="shared" si="3"/>
        <v>141.04819277108433</v>
      </c>
      <c r="N36" s="38">
        <f t="shared" si="3"/>
        <v>119.4844827586207</v>
      </c>
    </row>
    <row r="37" spans="2:20" ht="15.75" hidden="1" customHeight="1" x14ac:dyDescent="0.25">
      <c r="B37" s="23" t="s">
        <v>24</v>
      </c>
      <c r="C37" s="86">
        <v>1</v>
      </c>
      <c r="D37" s="86">
        <v>0.66</v>
      </c>
      <c r="E37" s="86">
        <v>1</v>
      </c>
      <c r="F37" s="86">
        <v>1</v>
      </c>
      <c r="G37" s="86">
        <v>1</v>
      </c>
      <c r="H37" s="86">
        <v>1</v>
      </c>
      <c r="I37" s="86">
        <v>1</v>
      </c>
      <c r="J37" s="86">
        <v>1</v>
      </c>
      <c r="K37" s="86">
        <v>1</v>
      </c>
      <c r="L37" s="86">
        <v>1</v>
      </c>
      <c r="M37" s="87">
        <v>1</v>
      </c>
      <c r="N37" s="87">
        <v>1</v>
      </c>
    </row>
    <row r="39" spans="2:20" ht="15.75" customHeight="1" x14ac:dyDescent="0.25">
      <c r="B39" s="1">
        <v>2023</v>
      </c>
      <c r="C39" s="2" t="s">
        <v>0</v>
      </c>
      <c r="D39" s="2" t="s">
        <v>1</v>
      </c>
      <c r="E39" s="3" t="s">
        <v>2</v>
      </c>
      <c r="F39" s="3" t="s">
        <v>3</v>
      </c>
      <c r="G39" s="3" t="s">
        <v>4</v>
      </c>
      <c r="H39" s="2" t="s">
        <v>5</v>
      </c>
      <c r="I39" s="2" t="s">
        <v>6</v>
      </c>
      <c r="J39" s="3" t="s">
        <v>7</v>
      </c>
      <c r="K39" s="3" t="s">
        <v>8</v>
      </c>
      <c r="L39" s="3" t="s">
        <v>9</v>
      </c>
      <c r="M39" s="3" t="s">
        <v>10</v>
      </c>
      <c r="N39" s="2" t="s">
        <v>11</v>
      </c>
      <c r="O39" s="42"/>
      <c r="P39" s="42"/>
      <c r="Q39" s="43"/>
      <c r="R39" s="4"/>
      <c r="T39" s="44"/>
    </row>
    <row r="40" spans="2:20" ht="19.5" customHeight="1" x14ac:dyDescent="0.3">
      <c r="B40" s="37" t="s">
        <v>27</v>
      </c>
      <c r="C40" s="7">
        <v>10000</v>
      </c>
      <c r="D40" s="7">
        <v>10000</v>
      </c>
      <c r="E40" s="7">
        <v>15000</v>
      </c>
      <c r="F40" s="7">
        <v>15000</v>
      </c>
      <c r="G40" s="7">
        <v>15000</v>
      </c>
      <c r="H40" s="7">
        <v>10000</v>
      </c>
      <c r="I40" s="7">
        <v>10000</v>
      </c>
      <c r="J40" s="7">
        <v>15000</v>
      </c>
      <c r="K40" s="7">
        <v>15000</v>
      </c>
      <c r="L40" s="7">
        <v>15000</v>
      </c>
      <c r="M40" s="7">
        <v>15000</v>
      </c>
      <c r="N40" s="7">
        <v>10000</v>
      </c>
      <c r="O40" s="13">
        <f>SUM(C40:N40)</f>
        <v>155000</v>
      </c>
      <c r="P40" s="13"/>
      <c r="Q40" s="13"/>
      <c r="R40" s="12"/>
      <c r="T40" s="36"/>
    </row>
    <row r="41" spans="2:20" ht="15.75" customHeight="1" x14ac:dyDescent="0.25">
      <c r="B41" s="45" t="s">
        <v>13</v>
      </c>
      <c r="C41" s="46">
        <v>4679.6899999999996</v>
      </c>
      <c r="D41" s="46">
        <v>2573.65</v>
      </c>
      <c r="E41" s="46">
        <v>4183.0200000000004</v>
      </c>
      <c r="F41" s="46">
        <v>9132.82</v>
      </c>
      <c r="G41" s="46">
        <v>14388.32</v>
      </c>
      <c r="H41" s="46">
        <v>4518.96</v>
      </c>
      <c r="I41" s="46">
        <v>4538.41</v>
      </c>
      <c r="J41" s="46">
        <v>2477</v>
      </c>
      <c r="K41" s="4">
        <v>4624.04</v>
      </c>
      <c r="L41" s="4">
        <v>13390.52</v>
      </c>
      <c r="M41" s="46">
        <v>6877.71</v>
      </c>
      <c r="N41" s="4">
        <v>1627.17</v>
      </c>
      <c r="O41" s="33"/>
      <c r="P41" s="33"/>
      <c r="Q41" s="33"/>
    </row>
    <row r="42" spans="2:20" ht="15.75" customHeight="1" x14ac:dyDescent="0.25">
      <c r="B42" s="47" t="s">
        <v>14</v>
      </c>
      <c r="C42" s="48">
        <v>5371</v>
      </c>
      <c r="D42" s="48">
        <v>3906</v>
      </c>
      <c r="E42" s="48">
        <v>6987</v>
      </c>
      <c r="F42" s="46">
        <v>3606</v>
      </c>
      <c r="G42" s="46">
        <v>6903</v>
      </c>
      <c r="H42" s="46">
        <v>5378</v>
      </c>
      <c r="I42" s="46">
        <v>4240.0200000000004</v>
      </c>
      <c r="J42" s="48">
        <v>4157.3999999999996</v>
      </c>
      <c r="K42" s="4">
        <v>5911</v>
      </c>
      <c r="L42" s="12">
        <v>5123</v>
      </c>
      <c r="M42" s="4">
        <v>8138</v>
      </c>
      <c r="N42" s="12">
        <v>12385</v>
      </c>
      <c r="O42" s="41"/>
      <c r="P42" s="41"/>
      <c r="Q42" s="41"/>
      <c r="R42" s="12"/>
    </row>
    <row r="43" spans="2:20" ht="16.5" customHeight="1" x14ac:dyDescent="0.3">
      <c r="B43" s="11" t="s">
        <v>41</v>
      </c>
      <c r="C43" s="72">
        <f t="shared" ref="C43:H43" si="4">C41+C42</f>
        <v>10050.689999999999</v>
      </c>
      <c r="D43" s="90">
        <f t="shared" si="4"/>
        <v>6479.65</v>
      </c>
      <c r="E43" s="74">
        <f t="shared" si="4"/>
        <v>11170.02</v>
      </c>
      <c r="F43" s="74">
        <f t="shared" si="4"/>
        <v>12738.82</v>
      </c>
      <c r="G43" s="71">
        <f t="shared" si="4"/>
        <v>21291.32</v>
      </c>
      <c r="H43" s="70">
        <f t="shared" si="4"/>
        <v>9896.9599999999991</v>
      </c>
      <c r="I43" s="90">
        <v>8778.43</v>
      </c>
      <c r="J43" s="90">
        <v>6634.4</v>
      </c>
      <c r="K43" s="90">
        <f>K41+K42</f>
        <v>10535.04</v>
      </c>
      <c r="L43" s="71">
        <f>L41+L42</f>
        <v>18513.52</v>
      </c>
      <c r="M43" s="70">
        <v>15015.71</v>
      </c>
      <c r="N43" s="175">
        <f>N41+N42</f>
        <v>14012.17</v>
      </c>
      <c r="O43" s="73">
        <f>SUM(C43:N43)</f>
        <v>145116.73000000001</v>
      </c>
      <c r="P43" s="31"/>
      <c r="Q43" s="31"/>
    </row>
    <row r="44" spans="2:20" ht="15.75" customHeight="1" x14ac:dyDescent="0.25">
      <c r="B44" s="14" t="s">
        <v>33</v>
      </c>
      <c r="O44" s="22"/>
      <c r="P44" s="22"/>
      <c r="Q44" s="22"/>
    </row>
    <row r="45" spans="2:20" ht="15.75" customHeight="1" x14ac:dyDescent="0.25">
      <c r="B45" s="14" t="s">
        <v>17</v>
      </c>
      <c r="C45" s="85">
        <f t="shared" ref="C45:M45" si="5">(C43/C22)-1</f>
        <v>0.9632899746254866</v>
      </c>
      <c r="D45" s="85">
        <f t="shared" si="5"/>
        <v>5.4721517318388591E-2</v>
      </c>
      <c r="E45" s="85">
        <f t="shared" si="5"/>
        <v>1.151784321091109</v>
      </c>
      <c r="F45" s="85">
        <f t="shared" si="5"/>
        <v>0.77795797824381774</v>
      </c>
      <c r="G45" s="85">
        <f t="shared" si="5"/>
        <v>2.0957215099321571</v>
      </c>
      <c r="H45" s="85">
        <f t="shared" si="5"/>
        <v>0.42892247807951556</v>
      </c>
      <c r="I45" s="85">
        <f t="shared" si="5"/>
        <v>0.3612332684124997</v>
      </c>
      <c r="J45" s="85">
        <f t="shared" si="5"/>
        <v>-0.35403025183901393</v>
      </c>
      <c r="K45" s="85">
        <f t="shared" si="5"/>
        <v>-8.5526712039991626E-3</v>
      </c>
      <c r="L45" s="85">
        <f t="shared" si="5"/>
        <v>0.74815822025816092</v>
      </c>
      <c r="M45" s="85">
        <f t="shared" si="5"/>
        <v>0.28262663363799434</v>
      </c>
      <c r="O45" s="43"/>
      <c r="P45" s="43"/>
      <c r="Q45" s="43"/>
    </row>
    <row r="46" spans="2:20" ht="15.75" hidden="1" customHeight="1" x14ac:dyDescent="0.25">
      <c r="B46" s="14"/>
      <c r="C46" s="17"/>
      <c r="D46" s="17"/>
      <c r="E46" s="17"/>
      <c r="F46" s="17"/>
      <c r="G46" s="17"/>
      <c r="H46" s="17"/>
      <c r="I46" s="17"/>
      <c r="J46" s="17"/>
      <c r="O46" s="43"/>
      <c r="P46" s="43"/>
      <c r="Q46" s="43"/>
    </row>
    <row r="47" spans="2:20" ht="15.75" hidden="1" customHeight="1" x14ac:dyDescent="0.3">
      <c r="B47" s="5" t="s">
        <v>34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2:20" ht="15.75" hidden="1" customHeight="1" x14ac:dyDescent="0.25">
      <c r="B48" s="14" t="s">
        <v>34</v>
      </c>
      <c r="C48" s="18">
        <f t="shared" ref="C48:N48" si="6">C49+C50</f>
        <v>12067.48</v>
      </c>
      <c r="D48" s="18">
        <f t="shared" si="6"/>
        <v>7500.34</v>
      </c>
      <c r="E48" s="18">
        <f t="shared" si="6"/>
        <v>14576.68</v>
      </c>
      <c r="F48" s="18">
        <f t="shared" si="6"/>
        <v>7411.3600000000006</v>
      </c>
      <c r="G48" s="18">
        <f t="shared" si="6"/>
        <v>12849.76</v>
      </c>
      <c r="H48" s="18">
        <f t="shared" si="6"/>
        <v>10136.700000000001</v>
      </c>
      <c r="I48" s="18">
        <f t="shared" si="6"/>
        <v>6135.85</v>
      </c>
      <c r="J48" s="18">
        <f t="shared" si="6"/>
        <v>8463.91</v>
      </c>
      <c r="K48" s="18">
        <f t="shared" si="6"/>
        <v>8360.369999999999</v>
      </c>
      <c r="L48" s="18">
        <f t="shared" si="6"/>
        <v>13888.380000000001</v>
      </c>
      <c r="M48" s="18">
        <f t="shared" si="6"/>
        <v>14166.01</v>
      </c>
      <c r="N48" s="18">
        <f t="shared" si="6"/>
        <v>18523.04</v>
      </c>
    </row>
    <row r="49" spans="2:17" ht="15.75" hidden="1" customHeight="1" x14ac:dyDescent="0.25">
      <c r="B49" s="14" t="s">
        <v>36</v>
      </c>
      <c r="C49" s="18">
        <v>6246.6</v>
      </c>
      <c r="D49" s="18">
        <v>5157.6400000000003</v>
      </c>
      <c r="E49" s="18">
        <v>8728.06</v>
      </c>
      <c r="F49" s="18">
        <v>4720.46</v>
      </c>
      <c r="G49" s="18">
        <v>8623.77</v>
      </c>
      <c r="H49" s="18">
        <v>6184.86</v>
      </c>
      <c r="I49" s="18">
        <v>4232.0200000000004</v>
      </c>
      <c r="J49" s="18">
        <v>5273.48</v>
      </c>
      <c r="K49" s="18">
        <v>6638.16</v>
      </c>
      <c r="L49" s="18">
        <v>7150.06</v>
      </c>
      <c r="M49" s="18">
        <v>8769.52</v>
      </c>
      <c r="N49" s="18">
        <v>15660.35</v>
      </c>
    </row>
    <row r="50" spans="2:17" ht="15.75" hidden="1" customHeight="1" x14ac:dyDescent="0.25">
      <c r="B50" s="82" t="s">
        <v>37</v>
      </c>
      <c r="C50" s="84">
        <v>5820.88</v>
      </c>
      <c r="D50" s="84">
        <v>2342.6999999999998</v>
      </c>
      <c r="E50" s="84">
        <v>5848.62</v>
      </c>
      <c r="F50" s="84">
        <v>2690.9</v>
      </c>
      <c r="G50" s="84">
        <v>4225.99</v>
      </c>
      <c r="H50" s="84">
        <v>3951.84</v>
      </c>
      <c r="I50" s="84">
        <v>1903.83</v>
      </c>
      <c r="J50" s="84">
        <v>3190.43</v>
      </c>
      <c r="K50" s="84">
        <v>1722.21</v>
      </c>
      <c r="L50" s="84">
        <v>6738.32</v>
      </c>
      <c r="M50" s="84">
        <v>5396.49</v>
      </c>
      <c r="N50" s="84">
        <v>2862.69</v>
      </c>
    </row>
    <row r="51" spans="2:17" ht="15.75" hidden="1" customHeight="1" x14ac:dyDescent="0.25">
      <c r="B51" s="14" t="s">
        <v>38</v>
      </c>
      <c r="C51" s="104">
        <f t="shared" ref="C51:N51" si="7">C49/C48</f>
        <v>0.51763914255503229</v>
      </c>
      <c r="D51" s="104">
        <f t="shared" si="7"/>
        <v>0.68765415967809462</v>
      </c>
      <c r="E51" s="104">
        <f t="shared" si="7"/>
        <v>0.59876871825408795</v>
      </c>
      <c r="F51" s="104">
        <f t="shared" si="7"/>
        <v>0.63692223829364647</v>
      </c>
      <c r="G51" s="104">
        <f t="shared" si="7"/>
        <v>0.67112304043032711</v>
      </c>
      <c r="H51" s="104">
        <f t="shared" si="7"/>
        <v>0.6101453135635857</v>
      </c>
      <c r="I51" s="85">
        <f t="shared" si="7"/>
        <v>0.68972025065801812</v>
      </c>
      <c r="J51" s="85">
        <f t="shared" si="7"/>
        <v>0.62305482926921474</v>
      </c>
      <c r="K51" s="85">
        <f t="shared" si="7"/>
        <v>0.79400313622483221</v>
      </c>
      <c r="L51" s="85">
        <f t="shared" si="7"/>
        <v>0.51482318312142961</v>
      </c>
      <c r="M51" s="85">
        <f t="shared" si="7"/>
        <v>0.61905363613325137</v>
      </c>
      <c r="N51" s="85">
        <f t="shared" si="7"/>
        <v>0.84545247432386905</v>
      </c>
      <c r="Q51" s="22"/>
    </row>
    <row r="52" spans="2:17" ht="15.75" hidden="1" customHeight="1" x14ac:dyDescent="0.25">
      <c r="B52" s="14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Q52" s="22"/>
    </row>
    <row r="53" spans="2:17" s="122" customFormat="1" ht="15.75" hidden="1" customHeight="1" x14ac:dyDescent="0.25">
      <c r="B53" s="126" t="s">
        <v>42</v>
      </c>
      <c r="C53" s="146">
        <v>45267</v>
      </c>
      <c r="D53" s="146">
        <v>45267</v>
      </c>
      <c r="E53" s="146">
        <v>45267</v>
      </c>
      <c r="F53" s="146">
        <v>45267</v>
      </c>
      <c r="G53" s="146">
        <v>45267</v>
      </c>
      <c r="H53" s="146">
        <v>45267</v>
      </c>
      <c r="I53" s="146">
        <v>45267</v>
      </c>
      <c r="J53" s="146">
        <v>45267</v>
      </c>
      <c r="K53" s="146">
        <v>45267</v>
      </c>
      <c r="L53" s="146">
        <v>45267</v>
      </c>
      <c r="M53" s="146">
        <v>45267</v>
      </c>
      <c r="N53" s="121"/>
      <c r="Q53" s="127"/>
    </row>
    <row r="54" spans="2:17" s="123" customFormat="1" ht="15.75" hidden="1" customHeight="1" x14ac:dyDescent="0.25">
      <c r="B54" s="124"/>
      <c r="C54" s="147">
        <v>5680.3</v>
      </c>
      <c r="D54" s="147">
        <v>2155.35</v>
      </c>
      <c r="E54" s="147">
        <v>5759.66</v>
      </c>
      <c r="F54" s="147">
        <v>3135.96</v>
      </c>
      <c r="G54" s="147">
        <v>3583.04</v>
      </c>
      <c r="H54" s="147">
        <v>3822.09</v>
      </c>
      <c r="I54" s="147">
        <v>1903.83</v>
      </c>
      <c r="J54" s="147">
        <v>1387045</v>
      </c>
      <c r="K54" s="147">
        <v>1722.21</v>
      </c>
      <c r="L54" s="147">
        <v>6548.72</v>
      </c>
      <c r="M54" s="148">
        <v>5396.49</v>
      </c>
      <c r="N54" s="125"/>
      <c r="Q54" s="128"/>
    </row>
    <row r="55" spans="2:17" ht="15.75" hidden="1" customHeight="1" x14ac:dyDescent="0.25">
      <c r="B55" s="14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Q55" s="22"/>
    </row>
    <row r="56" spans="2:17" ht="15.75" hidden="1" customHeight="1" x14ac:dyDescent="0.25">
      <c r="B56" s="14" t="s">
        <v>44</v>
      </c>
      <c r="C56" s="105">
        <v>0.19170000000000001</v>
      </c>
      <c r="D56" s="85">
        <v>0.23</v>
      </c>
      <c r="E56" s="85">
        <v>0.21</v>
      </c>
      <c r="F56" s="85">
        <v>0.21</v>
      </c>
      <c r="G56" s="85">
        <v>0.27160000000000001</v>
      </c>
      <c r="H56" s="85">
        <v>0.27</v>
      </c>
      <c r="I56" s="85"/>
      <c r="J56" s="85"/>
      <c r="K56" s="85"/>
      <c r="L56" s="85"/>
      <c r="M56" s="85">
        <v>0.28999999999999998</v>
      </c>
      <c r="N56" s="85">
        <v>0.27</v>
      </c>
      <c r="O56" s="43"/>
      <c r="P56" s="43"/>
      <c r="Q56" s="43"/>
    </row>
    <row r="57" spans="2:17" ht="15.75" hidden="1" customHeight="1" x14ac:dyDescent="0.25">
      <c r="B57" s="14" t="s">
        <v>45</v>
      </c>
      <c r="C57" s="111">
        <f t="shared" ref="C57:N57" si="8">C50/C65</f>
        <v>44.015573060158069</v>
      </c>
      <c r="D57" s="111">
        <f t="shared" si="8"/>
        <v>21.331291041954426</v>
      </c>
      <c r="E57" s="111">
        <f t="shared" si="8"/>
        <v>44.505981188932516</v>
      </c>
      <c r="F57" s="111">
        <f t="shared" si="8"/>
        <v>11.617991305317133</v>
      </c>
      <c r="G57" s="111">
        <f t="shared" si="8"/>
        <v>13.496923628971805</v>
      </c>
      <c r="H57" s="111">
        <f t="shared" si="8"/>
        <v>30.745974521469225</v>
      </c>
      <c r="I57" s="111">
        <f t="shared" si="8"/>
        <v>14.313810100439373</v>
      </c>
      <c r="J57" s="111">
        <f t="shared" si="8"/>
        <v>33.662441215482936</v>
      </c>
      <c r="K57" s="111">
        <f t="shared" si="8"/>
        <v>14.05880376344086</v>
      </c>
      <c r="L57" s="111">
        <f t="shared" si="8"/>
        <v>74.97730955539518</v>
      </c>
      <c r="M57" s="111">
        <f t="shared" si="8"/>
        <v>34.860791131421692</v>
      </c>
      <c r="N57" s="111">
        <f t="shared" si="8"/>
        <v>19.612825137005903</v>
      </c>
      <c r="O57" s="43"/>
      <c r="P57" s="43"/>
      <c r="Q57" s="43"/>
    </row>
    <row r="58" spans="2:17" ht="15.75" hidden="1" customHeight="1" x14ac:dyDescent="0.25">
      <c r="B58" s="14"/>
      <c r="C58" s="17"/>
      <c r="D58" s="17"/>
      <c r="E58" s="17"/>
      <c r="F58" s="17"/>
      <c r="G58" s="17"/>
      <c r="H58" s="17"/>
      <c r="I58" s="17"/>
      <c r="J58" s="17"/>
      <c r="O58" s="43"/>
      <c r="P58" s="43"/>
      <c r="Q58" s="43"/>
    </row>
    <row r="59" spans="2:17" ht="15.75" hidden="1" customHeight="1" x14ac:dyDescent="0.25">
      <c r="B59" s="3" t="s">
        <v>65</v>
      </c>
      <c r="C59" s="19" t="s">
        <v>0</v>
      </c>
      <c r="D59" s="19" t="s">
        <v>1</v>
      </c>
      <c r="E59" s="19" t="s">
        <v>2</v>
      </c>
      <c r="F59" s="19" t="s">
        <v>3</v>
      </c>
      <c r="G59" s="19" t="s">
        <v>4</v>
      </c>
      <c r="H59" s="19" t="s">
        <v>5</v>
      </c>
      <c r="I59" s="19" t="s">
        <v>6</v>
      </c>
      <c r="J59" s="19" t="s">
        <v>7</v>
      </c>
      <c r="K59" s="19" t="s">
        <v>8</v>
      </c>
      <c r="L59" s="19" t="s">
        <v>9</v>
      </c>
      <c r="M59" s="19" t="s">
        <v>10</v>
      </c>
      <c r="N59" s="19" t="s">
        <v>11</v>
      </c>
    </row>
    <row r="60" spans="2:17" ht="15.75" hidden="1" customHeight="1" x14ac:dyDescent="0.25">
      <c r="B60" s="23" t="s">
        <v>39</v>
      </c>
      <c r="C60" s="114">
        <v>32</v>
      </c>
      <c r="D60" s="114">
        <v>24</v>
      </c>
      <c r="E60" s="17">
        <v>31</v>
      </c>
      <c r="F60" s="17">
        <v>26</v>
      </c>
      <c r="G60" s="17">
        <v>24</v>
      </c>
      <c r="H60" s="17">
        <v>31</v>
      </c>
      <c r="I60" s="17">
        <v>33</v>
      </c>
      <c r="J60" s="17">
        <v>40</v>
      </c>
      <c r="K60" s="17">
        <v>46</v>
      </c>
      <c r="L60" s="17">
        <v>48</v>
      </c>
      <c r="M60" s="17">
        <v>55</v>
      </c>
      <c r="N60" s="17">
        <v>61</v>
      </c>
    </row>
    <row r="61" spans="2:17" ht="15.75" hidden="1" customHeight="1" x14ac:dyDescent="0.25">
      <c r="B61" s="23" t="s">
        <v>22</v>
      </c>
      <c r="C61">
        <v>76</v>
      </c>
      <c r="D61">
        <f>5+54</f>
        <v>59</v>
      </c>
      <c r="E61">
        <f>75+10</f>
        <v>85</v>
      </c>
      <c r="F61">
        <v>55</v>
      </c>
      <c r="G61">
        <v>68</v>
      </c>
      <c r="H61">
        <v>77</v>
      </c>
      <c r="I61">
        <v>66</v>
      </c>
      <c r="J61">
        <v>70</v>
      </c>
      <c r="K61">
        <v>86</v>
      </c>
      <c r="L61">
        <v>206</v>
      </c>
      <c r="M61">
        <v>97</v>
      </c>
      <c r="N61">
        <v>96</v>
      </c>
    </row>
    <row r="62" spans="2:17" ht="15.75" hidden="1" customHeight="1" x14ac:dyDescent="0.25">
      <c r="B62" s="23" t="s">
        <v>23</v>
      </c>
      <c r="C62">
        <v>849</v>
      </c>
      <c r="D62">
        <f>193+205</f>
        <v>398</v>
      </c>
      <c r="E62">
        <f>361+298</f>
        <v>659</v>
      </c>
      <c r="F62">
        <v>908</v>
      </c>
      <c r="G62">
        <v>1032</v>
      </c>
      <c r="H62">
        <v>881</v>
      </c>
      <c r="I62">
        <v>683</v>
      </c>
      <c r="J62">
        <v>622</v>
      </c>
      <c r="K62">
        <v>863</v>
      </c>
      <c r="L62">
        <v>1197</v>
      </c>
      <c r="M62">
        <v>1077</v>
      </c>
      <c r="N62">
        <v>760</v>
      </c>
    </row>
    <row r="63" spans="2:17" ht="15.75" hidden="1" customHeight="1" x14ac:dyDescent="0.25">
      <c r="B63" s="23"/>
    </row>
    <row r="64" spans="2:17" ht="15.75" hidden="1" customHeight="1" x14ac:dyDescent="0.25">
      <c r="B64" s="23" t="s">
        <v>49</v>
      </c>
      <c r="C64" s="102">
        <f t="shared" ref="C64:N64" si="9">C62/C61</f>
        <v>11.171052631578947</v>
      </c>
      <c r="D64" s="102">
        <f t="shared" si="9"/>
        <v>6.7457627118644066</v>
      </c>
      <c r="E64" s="102">
        <f t="shared" si="9"/>
        <v>7.7529411764705882</v>
      </c>
      <c r="F64" s="102">
        <f t="shared" si="9"/>
        <v>16.509090909090908</v>
      </c>
      <c r="G64" s="102">
        <f t="shared" si="9"/>
        <v>15.176470588235293</v>
      </c>
      <c r="H64" s="102">
        <f t="shared" si="9"/>
        <v>11.441558441558442</v>
      </c>
      <c r="I64" s="102">
        <f t="shared" si="9"/>
        <v>10.348484848484848</v>
      </c>
      <c r="J64" s="102">
        <f t="shared" si="9"/>
        <v>8.8857142857142861</v>
      </c>
      <c r="K64" s="102">
        <f t="shared" si="9"/>
        <v>10.034883720930232</v>
      </c>
      <c r="L64" s="102">
        <f t="shared" si="9"/>
        <v>5.8106796116504853</v>
      </c>
      <c r="M64" s="102">
        <f t="shared" si="9"/>
        <v>11.103092783505154</v>
      </c>
      <c r="N64" s="102">
        <f t="shared" si="9"/>
        <v>7.916666666666667</v>
      </c>
    </row>
    <row r="65" spans="2:20" ht="15.75" hidden="1" customHeight="1" x14ac:dyDescent="0.25">
      <c r="B65" s="23" t="s">
        <v>50</v>
      </c>
      <c r="C65" s="38">
        <f t="shared" ref="C65:N65" si="10">C43/C61</f>
        <v>132.24592105263156</v>
      </c>
      <c r="D65" s="38">
        <f t="shared" si="10"/>
        <v>109.82457627118643</v>
      </c>
      <c r="E65" s="38">
        <f t="shared" si="10"/>
        <v>131.41200000000001</v>
      </c>
      <c r="F65" s="38">
        <f t="shared" si="10"/>
        <v>231.61490909090909</v>
      </c>
      <c r="G65" s="38">
        <f t="shared" si="10"/>
        <v>313.10764705882355</v>
      </c>
      <c r="H65" s="38">
        <f t="shared" si="10"/>
        <v>128.53194805194804</v>
      </c>
      <c r="I65" s="38">
        <f t="shared" si="10"/>
        <v>133.00651515151515</v>
      </c>
      <c r="J65" s="38">
        <f t="shared" si="10"/>
        <v>94.777142857142849</v>
      </c>
      <c r="K65" s="38">
        <f t="shared" si="10"/>
        <v>122.50046511627907</v>
      </c>
      <c r="L65" s="38">
        <f t="shared" si="10"/>
        <v>89.871456310679619</v>
      </c>
      <c r="M65" s="38">
        <f t="shared" si="10"/>
        <v>154.80113402061855</v>
      </c>
      <c r="N65" s="38">
        <f t="shared" si="10"/>
        <v>145.96010416666667</v>
      </c>
    </row>
    <row r="66" spans="2:20" ht="15.75" hidden="1" customHeight="1" x14ac:dyDescent="0.25">
      <c r="B66" s="23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</row>
    <row r="67" spans="2:20" ht="15.75" hidden="1" customHeight="1" x14ac:dyDescent="0.25">
      <c r="B67" s="23" t="s">
        <v>97</v>
      </c>
      <c r="C67" s="108">
        <v>0.6</v>
      </c>
      <c r="D67" s="113">
        <v>0</v>
      </c>
      <c r="E67" s="24">
        <v>1</v>
      </c>
      <c r="F67" s="24">
        <v>1</v>
      </c>
      <c r="G67" s="24">
        <v>0.5</v>
      </c>
      <c r="H67" s="24">
        <v>0.8</v>
      </c>
      <c r="I67" s="24">
        <v>1</v>
      </c>
      <c r="J67" s="24"/>
      <c r="K67" s="24">
        <v>0.85</v>
      </c>
      <c r="L67" s="24">
        <v>1</v>
      </c>
      <c r="M67" s="24">
        <v>1</v>
      </c>
      <c r="N67" s="24">
        <v>1</v>
      </c>
    </row>
    <row r="68" spans="2:20" ht="15.75" hidden="1" customHeight="1" x14ac:dyDescent="0.25">
      <c r="B68" s="23" t="s">
        <v>138</v>
      </c>
      <c r="D68">
        <v>1</v>
      </c>
      <c r="E68">
        <v>5</v>
      </c>
      <c r="F68">
        <v>2</v>
      </c>
      <c r="G68">
        <v>2</v>
      </c>
      <c r="I68">
        <v>3</v>
      </c>
      <c r="K68">
        <v>7</v>
      </c>
      <c r="L68">
        <v>5</v>
      </c>
      <c r="M68">
        <v>1</v>
      </c>
      <c r="N68">
        <v>4</v>
      </c>
    </row>
    <row r="69" spans="2:20" hidden="1" x14ac:dyDescent="0.25"/>
    <row r="70" spans="2:20" ht="15.75" hidden="1" customHeight="1" x14ac:dyDescent="0.25">
      <c r="B70" s="23" t="s">
        <v>53</v>
      </c>
      <c r="N70" s="173" t="s">
        <v>139</v>
      </c>
    </row>
    <row r="71" spans="2:20" ht="15.75" hidden="1" customHeight="1" x14ac:dyDescent="0.25">
      <c r="N71" s="173" t="s">
        <v>140</v>
      </c>
    </row>
    <row r="72" spans="2:20" ht="15.75" hidden="1" customHeight="1" x14ac:dyDescent="0.25">
      <c r="N72" s="173" t="s">
        <v>141</v>
      </c>
    </row>
    <row r="73" spans="2:20" ht="15.75" hidden="1" customHeight="1" x14ac:dyDescent="0.25">
      <c r="N73" s="173" t="s">
        <v>142</v>
      </c>
    </row>
    <row r="74" spans="2:20" ht="15.75" hidden="1" customHeight="1" x14ac:dyDescent="0.25">
      <c r="N74" s="173" t="s">
        <v>143</v>
      </c>
    </row>
    <row r="75" spans="2:20" ht="15.75" hidden="1" customHeight="1" x14ac:dyDescent="0.25">
      <c r="N75" s="17"/>
    </row>
    <row r="76" spans="2:20" ht="15.75" hidden="1" customHeight="1" x14ac:dyDescent="0.25">
      <c r="N76" s="17"/>
    </row>
    <row r="77" spans="2:20" ht="15.75" customHeight="1" x14ac:dyDescent="0.25">
      <c r="B77" s="1">
        <v>2024</v>
      </c>
      <c r="C77" s="2" t="s">
        <v>0</v>
      </c>
      <c r="D77" s="2" t="s">
        <v>1</v>
      </c>
      <c r="E77" s="3" t="s">
        <v>2</v>
      </c>
      <c r="F77" s="3" t="s">
        <v>3</v>
      </c>
      <c r="G77" s="3" t="s">
        <v>4</v>
      </c>
      <c r="H77" s="2" t="s">
        <v>5</v>
      </c>
      <c r="I77" s="2" t="s">
        <v>6</v>
      </c>
      <c r="J77" s="3" t="s">
        <v>7</v>
      </c>
      <c r="K77" s="3" t="s">
        <v>8</v>
      </c>
      <c r="L77" s="3" t="s">
        <v>9</v>
      </c>
      <c r="M77" s="3" t="s">
        <v>10</v>
      </c>
      <c r="N77" s="2" t="s">
        <v>11</v>
      </c>
      <c r="O77" s="168"/>
      <c r="P77" s="42"/>
      <c r="Q77" s="43"/>
      <c r="R77" s="4"/>
      <c r="T77" s="44"/>
    </row>
    <row r="78" spans="2:20" ht="19.5" customHeight="1" x14ac:dyDescent="0.3">
      <c r="B78" s="165" t="s">
        <v>28</v>
      </c>
      <c r="C78" s="7">
        <f>C43*1.15</f>
        <v>11558.293499999998</v>
      </c>
      <c r="D78" s="7">
        <f>D43*1.15</f>
        <v>7451.5974999999989</v>
      </c>
      <c r="E78" s="7">
        <f>E43*1.15</f>
        <v>12845.522999999999</v>
      </c>
      <c r="F78" s="7">
        <f>F43*1.15</f>
        <v>14649.642999999998</v>
      </c>
      <c r="G78" s="7">
        <v>20000</v>
      </c>
      <c r="H78" s="7">
        <f t="shared" ref="H78:N78" si="11">H43*1.15</f>
        <v>11381.503999999999</v>
      </c>
      <c r="I78" s="7">
        <f t="shared" si="11"/>
        <v>10095.1945</v>
      </c>
      <c r="J78" s="7">
        <f t="shared" si="11"/>
        <v>7629.5599999999986</v>
      </c>
      <c r="K78" s="7">
        <f t="shared" si="11"/>
        <v>12115.296</v>
      </c>
      <c r="L78" s="7">
        <f t="shared" si="11"/>
        <v>21290.547999999999</v>
      </c>
      <c r="M78" s="7">
        <f t="shared" si="11"/>
        <v>17268.066499999997</v>
      </c>
      <c r="N78" s="7">
        <f t="shared" si="11"/>
        <v>16113.995499999999</v>
      </c>
      <c r="O78" s="7">
        <f>SUM(C78:N78)</f>
        <v>162399.22149999999</v>
      </c>
      <c r="P78" s="13"/>
      <c r="Q78" s="13"/>
      <c r="R78" s="12"/>
      <c r="T78" s="36"/>
    </row>
    <row r="79" spans="2:20" ht="15.75" customHeight="1" x14ac:dyDescent="0.25">
      <c r="B79" s="166" t="s">
        <v>13</v>
      </c>
      <c r="C79" s="46">
        <v>6745.27</v>
      </c>
      <c r="D79" s="46">
        <v>7499.69</v>
      </c>
      <c r="E79" s="46">
        <v>8140.09</v>
      </c>
      <c r="F79" s="46">
        <v>8455.19</v>
      </c>
      <c r="G79" s="46">
        <v>11660</v>
      </c>
      <c r="H79" s="46">
        <v>8883.51</v>
      </c>
      <c r="I79" s="46">
        <v>12136.27</v>
      </c>
      <c r="J79" s="46">
        <v>5840.96</v>
      </c>
      <c r="K79" s="4">
        <v>4106.62</v>
      </c>
      <c r="L79" s="4">
        <v>11713.12</v>
      </c>
      <c r="M79" s="46">
        <v>10041.34</v>
      </c>
      <c r="N79" s="4">
        <v>5520.36</v>
      </c>
      <c r="O79" s="4"/>
      <c r="P79" s="33"/>
      <c r="Q79" s="33"/>
    </row>
    <row r="80" spans="2:20" ht="15.75" customHeight="1" x14ac:dyDescent="0.25">
      <c r="B80" s="167" t="s">
        <v>14</v>
      </c>
      <c r="C80" s="48">
        <v>8572</v>
      </c>
      <c r="D80" s="48">
        <v>7631</v>
      </c>
      <c r="E80" s="48">
        <v>5172</v>
      </c>
      <c r="F80" s="46">
        <v>11015</v>
      </c>
      <c r="G80" s="46">
        <v>7549.3</v>
      </c>
      <c r="H80" s="46">
        <v>8661</v>
      </c>
      <c r="I80" s="46">
        <v>11224</v>
      </c>
      <c r="J80" s="48">
        <v>9492</v>
      </c>
      <c r="K80" s="4">
        <v>9972</v>
      </c>
      <c r="L80" s="12">
        <v>7542</v>
      </c>
      <c r="M80" s="4">
        <v>9558</v>
      </c>
      <c r="N80" s="12">
        <v>7542</v>
      </c>
      <c r="O80" s="12"/>
      <c r="P80" s="41"/>
      <c r="Q80" s="41"/>
      <c r="R80" s="12"/>
    </row>
    <row r="81" spans="2:17" ht="24.75" customHeight="1" x14ac:dyDescent="0.35">
      <c r="B81" s="163" t="s">
        <v>62</v>
      </c>
      <c r="C81" s="200">
        <f>C80+C79</f>
        <v>15317.27</v>
      </c>
      <c r="D81" s="175">
        <f t="shared" ref="D81:N81" si="12">D79+D80</f>
        <v>15130.689999999999</v>
      </c>
      <c r="E81" s="205">
        <f t="shared" si="12"/>
        <v>13312.09</v>
      </c>
      <c r="F81" s="175">
        <f t="shared" si="12"/>
        <v>19470.190000000002</v>
      </c>
      <c r="G81" s="216">
        <f t="shared" si="12"/>
        <v>19209.3</v>
      </c>
      <c r="H81" s="247">
        <f t="shared" si="12"/>
        <v>17544.510000000002</v>
      </c>
      <c r="I81" s="251">
        <f t="shared" si="12"/>
        <v>23360.27</v>
      </c>
      <c r="J81" s="251">
        <f t="shared" si="12"/>
        <v>15332.96</v>
      </c>
      <c r="K81" s="246">
        <f t="shared" si="12"/>
        <v>14078.619999999999</v>
      </c>
      <c r="L81" s="216">
        <f t="shared" si="12"/>
        <v>19255.120000000003</v>
      </c>
      <c r="M81" s="246">
        <f t="shared" si="12"/>
        <v>19599.34</v>
      </c>
      <c r="N81" s="216">
        <f t="shared" si="12"/>
        <v>13062.36</v>
      </c>
      <c r="O81" s="7">
        <f>SUM(C81:N81)</f>
        <v>204672.72000000003</v>
      </c>
      <c r="P81" s="31"/>
      <c r="Q81" s="31"/>
    </row>
    <row r="82" spans="2:17" ht="15.75" customHeight="1" x14ac:dyDescent="0.25">
      <c r="B82" s="14" t="s">
        <v>111</v>
      </c>
      <c r="P82" s="22"/>
      <c r="Q82" s="22"/>
    </row>
    <row r="83" spans="2:17" ht="15.75" customHeight="1" x14ac:dyDescent="0.25">
      <c r="B83" s="14" t="s">
        <v>17</v>
      </c>
      <c r="C83" s="85">
        <f t="shared" ref="C83:L83" si="13">(C81/C43)-1</f>
        <v>0.52400183469990647</v>
      </c>
      <c r="D83" s="85">
        <f t="shared" si="13"/>
        <v>1.3351091494139342</v>
      </c>
      <c r="E83" s="85">
        <f t="shared" si="13"/>
        <v>0.19176957606163647</v>
      </c>
      <c r="F83" s="85">
        <f t="shared" si="13"/>
        <v>0.5284139347286485</v>
      </c>
      <c r="G83" s="85">
        <f t="shared" si="13"/>
        <v>-9.7787267299538017E-2</v>
      </c>
      <c r="H83" s="85">
        <f t="shared" si="13"/>
        <v>0.7727170767589242</v>
      </c>
      <c r="I83" s="85">
        <f t="shared" si="13"/>
        <v>1.6610988525282995</v>
      </c>
      <c r="J83" s="85">
        <f t="shared" si="13"/>
        <v>1.3111298685638491</v>
      </c>
      <c r="K83" s="85">
        <f t="shared" si="13"/>
        <v>0.33636132373488836</v>
      </c>
      <c r="L83" s="85">
        <f t="shared" si="13"/>
        <v>4.0057212242728735E-2</v>
      </c>
      <c r="M83" s="85">
        <f>(M81/M43)-1</f>
        <v>0.3052556289379591</v>
      </c>
      <c r="N83" s="85">
        <f t="shared" ref="N83" si="14">(N81/N43)-1</f>
        <v>-6.7784647203109838E-2</v>
      </c>
      <c r="O83" s="43"/>
      <c r="P83" s="43"/>
      <c r="Q83" s="43"/>
    </row>
    <row r="84" spans="2:17" ht="15.75" hidden="1" customHeight="1" x14ac:dyDescent="0.25">
      <c r="B84" s="14"/>
      <c r="C84" s="17"/>
      <c r="D84" s="17"/>
      <c r="E84" s="17"/>
      <c r="F84" s="17"/>
      <c r="G84" s="17"/>
      <c r="H84" s="17"/>
      <c r="I84" s="17"/>
      <c r="J84" s="17"/>
      <c r="O84" s="43"/>
      <c r="P84" s="43"/>
      <c r="Q84" s="43"/>
    </row>
    <row r="85" spans="2:17" ht="15.75" customHeight="1" x14ac:dyDescent="0.25">
      <c r="B85" s="14" t="s">
        <v>48</v>
      </c>
      <c r="C85" s="269">
        <f>C81/C78</f>
        <v>1.3252189866955708</v>
      </c>
      <c r="D85" s="269">
        <f t="shared" ref="D85:N85" si="15">D81/D78</f>
        <v>2.0305296951425515</v>
      </c>
      <c r="E85" s="269">
        <f t="shared" si="15"/>
        <v>1.0363213704883796</v>
      </c>
      <c r="F85" s="269">
        <f t="shared" si="15"/>
        <v>1.3290555954162162</v>
      </c>
      <c r="G85" s="269">
        <f t="shared" si="15"/>
        <v>0.96046500000000001</v>
      </c>
      <c r="H85" s="269">
        <f t="shared" si="15"/>
        <v>1.5414931102251517</v>
      </c>
      <c r="I85" s="269">
        <f t="shared" si="15"/>
        <v>2.3139990021985213</v>
      </c>
      <c r="J85" s="269">
        <f t="shared" si="15"/>
        <v>2.0096781465772602</v>
      </c>
      <c r="K85" s="269">
        <f t="shared" si="15"/>
        <v>1.1620533249868594</v>
      </c>
      <c r="L85" s="269">
        <f t="shared" si="15"/>
        <v>0.90439757586324243</v>
      </c>
      <c r="M85" s="269">
        <f t="shared" si="15"/>
        <v>1.1350048947286602</v>
      </c>
      <c r="N85" s="269">
        <f t="shared" si="15"/>
        <v>0.81062204591033937</v>
      </c>
      <c r="O85" s="276">
        <f>O81/O78</f>
        <v>1.2603060415532845</v>
      </c>
      <c r="P85" s="43"/>
      <c r="Q85" s="43"/>
    </row>
    <row r="86" spans="2:17" ht="15.75" hidden="1" customHeight="1" x14ac:dyDescent="0.3">
      <c r="B86" s="5" t="s">
        <v>34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2:17" ht="15.75" hidden="1" customHeight="1" x14ac:dyDescent="0.25">
      <c r="B87" s="14" t="s">
        <v>34</v>
      </c>
      <c r="C87" s="18">
        <f t="shared" ref="C87:N87" si="16">C88+C89</f>
        <v>15830.529999999999</v>
      </c>
      <c r="D87" s="186">
        <f t="shared" si="16"/>
        <v>5937.9</v>
      </c>
      <c r="E87" s="186">
        <f t="shared" si="16"/>
        <v>12392.8</v>
      </c>
      <c r="F87" s="186">
        <f t="shared" si="16"/>
        <v>22949.390000000003</v>
      </c>
      <c r="G87" s="186">
        <f t="shared" si="16"/>
        <v>22080.55</v>
      </c>
      <c r="H87" s="186">
        <f t="shared" si="16"/>
        <v>17580.740000000002</v>
      </c>
      <c r="I87" s="186">
        <f t="shared" si="16"/>
        <v>22616.36</v>
      </c>
      <c r="J87" s="186">
        <f t="shared" si="16"/>
        <v>19528.5</v>
      </c>
      <c r="K87" s="186">
        <f t="shared" si="16"/>
        <v>24706.78</v>
      </c>
      <c r="L87" s="186">
        <f t="shared" si="16"/>
        <v>16163.26</v>
      </c>
      <c r="M87" s="186">
        <f t="shared" si="16"/>
        <v>22798.14</v>
      </c>
      <c r="N87" s="186">
        <f t="shared" si="16"/>
        <v>0</v>
      </c>
    </row>
    <row r="88" spans="2:17" ht="15.75" hidden="1" customHeight="1" x14ac:dyDescent="0.25">
      <c r="B88" s="14" t="s">
        <v>36</v>
      </c>
      <c r="C88" s="18">
        <v>12251.96</v>
      </c>
      <c r="D88" s="18">
        <v>2096.9499999999998</v>
      </c>
      <c r="E88" s="18">
        <v>6291.49</v>
      </c>
      <c r="F88" s="18">
        <v>16695.580000000002</v>
      </c>
      <c r="G88" s="18">
        <v>15138.52</v>
      </c>
      <c r="H88" s="18">
        <v>10987.95</v>
      </c>
      <c r="I88" s="18">
        <v>15585.51</v>
      </c>
      <c r="J88" s="18">
        <v>11526.59</v>
      </c>
      <c r="K88" s="18">
        <v>12838.95</v>
      </c>
      <c r="L88" s="18">
        <v>9535.91</v>
      </c>
      <c r="M88" s="18">
        <v>13566.71</v>
      </c>
      <c r="N88" s="18"/>
    </row>
    <row r="89" spans="2:17" ht="15.75" hidden="1" customHeight="1" x14ac:dyDescent="0.25">
      <c r="B89" s="82" t="s">
        <v>37</v>
      </c>
      <c r="C89" s="84">
        <v>3578.57</v>
      </c>
      <c r="D89" s="84">
        <v>3840.95</v>
      </c>
      <c r="E89" s="84">
        <v>6101.31</v>
      </c>
      <c r="F89" s="84">
        <v>6253.81</v>
      </c>
      <c r="G89" s="84">
        <v>6942.03</v>
      </c>
      <c r="H89" s="84">
        <v>6592.79</v>
      </c>
      <c r="I89" s="84">
        <v>7030.85</v>
      </c>
      <c r="J89" s="84">
        <v>8001.91</v>
      </c>
      <c r="K89" s="84">
        <v>11867.83</v>
      </c>
      <c r="L89" s="84">
        <v>6627.35</v>
      </c>
      <c r="M89" s="84">
        <v>9231.43</v>
      </c>
      <c r="N89" s="84"/>
    </row>
    <row r="90" spans="2:17" ht="15.75" hidden="1" customHeight="1" x14ac:dyDescent="0.25">
      <c r="B90" s="14" t="s">
        <v>38</v>
      </c>
      <c r="C90" s="85">
        <f t="shared" ref="C90:N90" si="17">C88/C87</f>
        <v>0.77394502900408257</v>
      </c>
      <c r="D90" s="85">
        <f t="shared" si="17"/>
        <v>0.35314673537782715</v>
      </c>
      <c r="E90" s="85">
        <f t="shared" si="17"/>
        <v>0.50767300367955592</v>
      </c>
      <c r="F90" s="85">
        <f t="shared" si="17"/>
        <v>0.727495589207382</v>
      </c>
      <c r="G90" s="85">
        <f t="shared" si="17"/>
        <v>0.68560429880596274</v>
      </c>
      <c r="H90" s="85">
        <f t="shared" si="17"/>
        <v>0.62499928899466117</v>
      </c>
      <c r="I90" s="85">
        <f t="shared" si="17"/>
        <v>0.68912548261523954</v>
      </c>
      <c r="J90" s="85">
        <f t="shared" si="17"/>
        <v>0.59024451442763137</v>
      </c>
      <c r="K90" s="85">
        <f t="shared" si="17"/>
        <v>0.51965290499207106</v>
      </c>
      <c r="L90" s="85">
        <f t="shared" si="17"/>
        <v>0.58997442347645213</v>
      </c>
      <c r="M90" s="85">
        <f t="shared" si="17"/>
        <v>0.59507968632528796</v>
      </c>
      <c r="N90" s="85" t="e">
        <f t="shared" si="17"/>
        <v>#DIV/0!</v>
      </c>
      <c r="Q90" s="22"/>
    </row>
    <row r="91" spans="2:17" ht="15.75" hidden="1" customHeight="1" x14ac:dyDescent="0.25">
      <c r="B91" s="132" t="s">
        <v>43</v>
      </c>
      <c r="C91" s="266">
        <f>C81+C89</f>
        <v>18895.84</v>
      </c>
      <c r="D91" s="266">
        <f t="shared" ref="D91:N91" si="18">D81+D89</f>
        <v>18971.64</v>
      </c>
      <c r="E91" s="266">
        <f t="shared" si="18"/>
        <v>19413.400000000001</v>
      </c>
      <c r="F91" s="266">
        <f t="shared" si="18"/>
        <v>25724.000000000004</v>
      </c>
      <c r="G91" s="266">
        <f t="shared" si="18"/>
        <v>26151.329999999998</v>
      </c>
      <c r="H91" s="266">
        <f t="shared" si="18"/>
        <v>24137.300000000003</v>
      </c>
      <c r="I91" s="266">
        <f t="shared" si="18"/>
        <v>30391.120000000003</v>
      </c>
      <c r="J91" s="266">
        <f t="shared" si="18"/>
        <v>23334.87</v>
      </c>
      <c r="K91" s="266">
        <f t="shared" si="18"/>
        <v>25946.449999999997</v>
      </c>
      <c r="L91" s="266">
        <f t="shared" si="18"/>
        <v>25882.47</v>
      </c>
      <c r="M91" s="266">
        <f t="shared" si="18"/>
        <v>28830.77</v>
      </c>
      <c r="N91" s="266">
        <f t="shared" si="18"/>
        <v>13062.36</v>
      </c>
      <c r="Q91" s="22"/>
    </row>
    <row r="92" spans="2:17" s="122" customFormat="1" ht="15.75" hidden="1" customHeight="1" x14ac:dyDescent="0.25">
      <c r="B92" s="126" t="s">
        <v>42</v>
      </c>
      <c r="C92" s="210" t="s">
        <v>64</v>
      </c>
      <c r="D92" s="209" t="s">
        <v>64</v>
      </c>
      <c r="E92" s="209" t="s">
        <v>64</v>
      </c>
      <c r="F92" s="213" t="s">
        <v>174</v>
      </c>
      <c r="G92" s="213" t="s">
        <v>244</v>
      </c>
      <c r="H92" s="213" t="s">
        <v>244</v>
      </c>
      <c r="I92" s="213" t="s">
        <v>244</v>
      </c>
      <c r="J92" s="213" t="s">
        <v>244</v>
      </c>
      <c r="K92" s="213" t="s">
        <v>244</v>
      </c>
      <c r="L92" s="160"/>
      <c r="M92" s="160"/>
      <c r="N92" s="121"/>
      <c r="Q92" s="127"/>
    </row>
    <row r="93" spans="2:17" s="123" customFormat="1" ht="15.75" hidden="1" customHeight="1" x14ac:dyDescent="0.25">
      <c r="B93" s="82" t="s">
        <v>37</v>
      </c>
      <c r="C93" s="206">
        <v>3840.94</v>
      </c>
      <c r="D93" s="206">
        <v>3733.87</v>
      </c>
      <c r="E93" s="206">
        <v>5311.21</v>
      </c>
      <c r="F93" s="130">
        <v>4826.1099999999997</v>
      </c>
      <c r="G93" s="130">
        <v>7664.03</v>
      </c>
      <c r="H93" s="130">
        <v>5491.67</v>
      </c>
      <c r="I93" s="130">
        <v>6350.0889999999999</v>
      </c>
      <c r="J93" s="130">
        <v>7407.1</v>
      </c>
      <c r="K93" s="130">
        <v>11643.76</v>
      </c>
      <c r="L93" s="161"/>
      <c r="M93" s="164"/>
      <c r="N93" s="125"/>
      <c r="Q93" s="128"/>
    </row>
    <row r="94" spans="2:17" ht="15.75" hidden="1" customHeight="1" x14ac:dyDescent="0.25">
      <c r="B94" s="14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Q94" s="22"/>
    </row>
    <row r="95" spans="2:17" ht="15.75" hidden="1" customHeight="1" x14ac:dyDescent="0.25">
      <c r="B95" s="14" t="s">
        <v>44</v>
      </c>
      <c r="C95" s="192">
        <f>4158.87/36043.7</f>
        <v>0.11538410318585496</v>
      </c>
      <c r="D95" s="192">
        <f>4158.87/36043.7</f>
        <v>0.11538410318585496</v>
      </c>
      <c r="E95" s="192">
        <f>1429.5/5172</f>
        <v>0.27639211136890951</v>
      </c>
      <c r="F95" s="192">
        <f>4158.87/36043.7</f>
        <v>0.11538410318585496</v>
      </c>
      <c r="G95" s="85">
        <f>3549.61/G80</f>
        <v>0.47019061369928339</v>
      </c>
      <c r="H95" s="85">
        <f>2781.66/H80</f>
        <v>0.32117076550051954</v>
      </c>
      <c r="I95" s="85">
        <f>3322.79/I80</f>
        <v>0.29604330007127583</v>
      </c>
      <c r="J95" s="85">
        <f t="shared" ref="J95:N95" si="19">3322.79/J80</f>
        <v>0.35006215760640541</v>
      </c>
      <c r="K95" s="85">
        <f t="shared" si="19"/>
        <v>0.33321199358202969</v>
      </c>
      <c r="L95" s="85">
        <f t="shared" si="19"/>
        <v>0.44057146645452133</v>
      </c>
      <c r="M95" s="85">
        <f t="shared" si="19"/>
        <v>0.34764490479179744</v>
      </c>
      <c r="N95" s="85">
        <f t="shared" si="19"/>
        <v>0.44057146645452133</v>
      </c>
      <c r="O95" s="43"/>
      <c r="P95" s="43"/>
      <c r="Q95" s="43"/>
    </row>
    <row r="96" spans="2:17" ht="15.75" hidden="1" customHeight="1" x14ac:dyDescent="0.25">
      <c r="B96" s="14" t="s">
        <v>45</v>
      </c>
      <c r="C96" s="111">
        <f t="shared" ref="C96:N96" si="20">C89/C104</f>
        <v>24.063864513715565</v>
      </c>
      <c r="D96" s="111">
        <f t="shared" si="20"/>
        <v>109.66389503717279</v>
      </c>
      <c r="E96" s="111">
        <f t="shared" si="20"/>
        <v>47.207833630932484</v>
      </c>
      <c r="F96" s="111">
        <f t="shared" si="20"/>
        <v>48.17988422300963</v>
      </c>
      <c r="G96" s="111">
        <f t="shared" si="20"/>
        <v>58.906409395449082</v>
      </c>
      <c r="H96" s="111">
        <f t="shared" si="20"/>
        <v>35.698634501619019</v>
      </c>
      <c r="I96" s="111">
        <f t="shared" si="20"/>
        <v>43.942304605212186</v>
      </c>
      <c r="J96" s="111">
        <f t="shared" si="20"/>
        <v>88.718988375369136</v>
      </c>
      <c r="K96" s="111">
        <f t="shared" si="20"/>
        <v>107.89993905652686</v>
      </c>
      <c r="L96" s="111">
        <f t="shared" si="20"/>
        <v>45.088415444827142</v>
      </c>
      <c r="M96" s="111">
        <f t="shared" si="20"/>
        <v>79.12920741208633</v>
      </c>
      <c r="N96" s="111" t="e">
        <f t="shared" si="20"/>
        <v>#DIV/0!</v>
      </c>
      <c r="O96" s="43"/>
      <c r="P96" s="43"/>
      <c r="Q96" s="43"/>
    </row>
    <row r="97" spans="2:17" ht="15.75" hidden="1" customHeight="1" x14ac:dyDescent="0.25">
      <c r="B97" s="14"/>
      <c r="C97" s="17"/>
      <c r="D97" s="17"/>
      <c r="E97" s="17"/>
      <c r="F97" s="17"/>
      <c r="G97" s="17"/>
      <c r="H97" s="17"/>
      <c r="I97" s="17"/>
      <c r="J97" s="17"/>
      <c r="O97" s="43"/>
      <c r="P97" s="43"/>
      <c r="Q97" s="43"/>
    </row>
    <row r="98" spans="2:17" ht="15.75" hidden="1" customHeight="1" x14ac:dyDescent="0.25">
      <c r="B98" s="3" t="s">
        <v>65</v>
      </c>
      <c r="C98" s="19" t="s">
        <v>0</v>
      </c>
      <c r="D98" s="19" t="s">
        <v>1</v>
      </c>
      <c r="E98" s="19" t="s">
        <v>2</v>
      </c>
      <c r="F98" s="19" t="s">
        <v>3</v>
      </c>
      <c r="G98" s="19" t="s">
        <v>4</v>
      </c>
      <c r="H98" s="19" t="s">
        <v>5</v>
      </c>
      <c r="I98" s="19" t="s">
        <v>6</v>
      </c>
      <c r="J98" s="19" t="s">
        <v>7</v>
      </c>
      <c r="K98" s="19" t="s">
        <v>8</v>
      </c>
      <c r="L98" s="19" t="s">
        <v>9</v>
      </c>
      <c r="M98" s="19" t="s">
        <v>10</v>
      </c>
      <c r="N98" s="19" t="s">
        <v>11</v>
      </c>
    </row>
    <row r="99" spans="2:17" ht="15.75" hidden="1" customHeight="1" x14ac:dyDescent="0.25">
      <c r="B99" s="23" t="s">
        <v>39</v>
      </c>
      <c r="C99" s="114">
        <v>49</v>
      </c>
      <c r="D99" s="114">
        <v>124</v>
      </c>
      <c r="E99" s="17">
        <v>49</v>
      </c>
      <c r="F99" s="17">
        <v>84</v>
      </c>
      <c r="G99" s="17">
        <v>88</v>
      </c>
      <c r="H99" s="17">
        <v>41</v>
      </c>
      <c r="I99" s="17">
        <v>62</v>
      </c>
      <c r="J99" s="17">
        <v>47</v>
      </c>
      <c r="K99" s="17">
        <v>48</v>
      </c>
      <c r="L99" s="17">
        <v>54</v>
      </c>
      <c r="M99" s="17">
        <v>68</v>
      </c>
      <c r="N99" s="17"/>
    </row>
    <row r="100" spans="2:17" ht="15.75" hidden="1" customHeight="1" x14ac:dyDescent="0.25">
      <c r="B100" s="23" t="s">
        <v>22</v>
      </c>
      <c r="C100">
        <f>80+23</f>
        <v>103</v>
      </c>
      <c r="D100">
        <v>432</v>
      </c>
      <c r="E100">
        <f>80+23</f>
        <v>103</v>
      </c>
      <c r="F100">
        <f>32+118</f>
        <v>150</v>
      </c>
      <c r="G100">
        <f>142+21</f>
        <v>163</v>
      </c>
      <c r="H100">
        <f>82+13</f>
        <v>95</v>
      </c>
      <c r="I100">
        <f>28+118</f>
        <v>146</v>
      </c>
      <c r="J100">
        <f>19+151</f>
        <v>170</v>
      </c>
      <c r="K100">
        <f>109+19</f>
        <v>128</v>
      </c>
      <c r="L100">
        <f>96+35</f>
        <v>131</v>
      </c>
      <c r="M100">
        <f>40+128</f>
        <v>168</v>
      </c>
    </row>
    <row r="101" spans="2:17" ht="15.75" hidden="1" customHeight="1" x14ac:dyDescent="0.25">
      <c r="B101" s="23" t="s">
        <v>23</v>
      </c>
      <c r="C101">
        <f>696+350</f>
        <v>1046</v>
      </c>
      <c r="D101" s="81">
        <v>6755</v>
      </c>
      <c r="E101">
        <f>476+498</f>
        <v>974</v>
      </c>
      <c r="F101">
        <f>965+485</f>
        <v>1450</v>
      </c>
      <c r="G101">
        <f>1172+468</f>
        <v>1640</v>
      </c>
      <c r="H101">
        <f>414+607</f>
        <v>1021</v>
      </c>
      <c r="I101">
        <f>725+919</f>
        <v>1644</v>
      </c>
      <c r="J101">
        <f>399+951</f>
        <v>1350</v>
      </c>
      <c r="K101">
        <f>214+997</f>
        <v>1211</v>
      </c>
      <c r="L101">
        <f>744+655</f>
        <v>1399</v>
      </c>
      <c r="M101">
        <f>587+1110</f>
        <v>1697</v>
      </c>
    </row>
    <row r="102" spans="2:17" ht="15.75" hidden="1" customHeight="1" x14ac:dyDescent="0.25">
      <c r="B102" s="23" t="s">
        <v>214</v>
      </c>
      <c r="C102" s="262">
        <f>C100/22</f>
        <v>4.6818181818181817</v>
      </c>
      <c r="D102" s="262">
        <f t="shared" ref="D102:N102" si="21">D100/22</f>
        <v>19.636363636363637</v>
      </c>
      <c r="E102" s="262">
        <f t="shared" si="21"/>
        <v>4.6818181818181817</v>
      </c>
      <c r="F102" s="262">
        <f t="shared" si="21"/>
        <v>6.8181818181818183</v>
      </c>
      <c r="G102" s="262">
        <f t="shared" si="21"/>
        <v>7.4090909090909092</v>
      </c>
      <c r="H102" s="262">
        <f t="shared" si="21"/>
        <v>4.3181818181818183</v>
      </c>
      <c r="I102" s="262">
        <f t="shared" si="21"/>
        <v>6.6363636363636367</v>
      </c>
      <c r="J102" s="262">
        <f t="shared" si="21"/>
        <v>7.7272727272727275</v>
      </c>
      <c r="K102" s="262">
        <f t="shared" si="21"/>
        <v>5.8181818181818183</v>
      </c>
      <c r="L102" s="262">
        <f t="shared" si="21"/>
        <v>5.9545454545454541</v>
      </c>
      <c r="M102" s="262">
        <f t="shared" si="21"/>
        <v>7.6363636363636367</v>
      </c>
      <c r="N102" s="262">
        <f t="shared" si="21"/>
        <v>0</v>
      </c>
    </row>
    <row r="103" spans="2:17" ht="15.75" hidden="1" customHeight="1" x14ac:dyDescent="0.25">
      <c r="B103" s="23" t="s">
        <v>49</v>
      </c>
      <c r="C103" s="102">
        <f t="shared" ref="C103:M103" si="22">C101/C100</f>
        <v>10.155339805825243</v>
      </c>
      <c r="D103" s="102">
        <f t="shared" si="22"/>
        <v>15.636574074074074</v>
      </c>
      <c r="E103" s="102">
        <f t="shared" si="22"/>
        <v>9.4563106796116507</v>
      </c>
      <c r="F103" s="102">
        <f t="shared" si="22"/>
        <v>9.6666666666666661</v>
      </c>
      <c r="G103" s="102">
        <f t="shared" si="22"/>
        <v>10.061349693251534</v>
      </c>
      <c r="H103" s="102">
        <f t="shared" si="22"/>
        <v>10.747368421052631</v>
      </c>
      <c r="I103" s="102">
        <f t="shared" si="22"/>
        <v>11.260273972602739</v>
      </c>
      <c r="J103" s="102">
        <f t="shared" si="22"/>
        <v>7.9411764705882355</v>
      </c>
      <c r="K103" s="102">
        <f t="shared" si="22"/>
        <v>9.4609375</v>
      </c>
      <c r="L103" s="102">
        <f t="shared" si="22"/>
        <v>10.679389312977099</v>
      </c>
      <c r="M103" s="102">
        <f t="shared" si="22"/>
        <v>10.101190476190476</v>
      </c>
    </row>
    <row r="104" spans="2:17" ht="15.75" hidden="1" customHeight="1" x14ac:dyDescent="0.25">
      <c r="B104" s="23" t="s">
        <v>50</v>
      </c>
      <c r="C104" s="38">
        <f t="shared" ref="C104:N104" si="23">C81/C100</f>
        <v>148.71135922330097</v>
      </c>
      <c r="D104" s="38">
        <f t="shared" si="23"/>
        <v>35.024745370370368</v>
      </c>
      <c r="E104" s="38">
        <f t="shared" si="23"/>
        <v>129.24359223300971</v>
      </c>
      <c r="F104" s="38">
        <f t="shared" si="23"/>
        <v>129.80126666666669</v>
      </c>
      <c r="G104" s="38">
        <f t="shared" si="23"/>
        <v>117.8484662576687</v>
      </c>
      <c r="H104" s="38">
        <f t="shared" si="23"/>
        <v>184.67905263157897</v>
      </c>
      <c r="I104" s="38">
        <f t="shared" si="23"/>
        <v>160.00184931506848</v>
      </c>
      <c r="J104" s="38">
        <f>J81/J100</f>
        <v>90.193882352941174</v>
      </c>
      <c r="K104" s="38">
        <f>K81/K100</f>
        <v>109.98921874999999</v>
      </c>
      <c r="L104" s="38">
        <f t="shared" si="23"/>
        <v>146.98564885496185</v>
      </c>
      <c r="M104" s="38">
        <f t="shared" si="23"/>
        <v>116.6627380952381</v>
      </c>
      <c r="N104" s="38" t="e">
        <f t="shared" si="23"/>
        <v>#DIV/0!</v>
      </c>
    </row>
    <row r="105" spans="2:17" ht="15.75" hidden="1" customHeight="1" x14ac:dyDescent="0.25">
      <c r="B105" s="23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</row>
    <row r="106" spans="2:17" ht="15.75" hidden="1" customHeight="1" x14ac:dyDescent="0.25">
      <c r="B106" s="23" t="s">
        <v>97</v>
      </c>
      <c r="C106" s="182"/>
      <c r="D106" s="113">
        <v>0.75</v>
      </c>
      <c r="E106" s="24">
        <v>1</v>
      </c>
      <c r="F106" s="24">
        <v>0</v>
      </c>
      <c r="G106" s="24">
        <v>1</v>
      </c>
      <c r="H106" s="24">
        <v>0</v>
      </c>
      <c r="I106" s="24">
        <v>0.94</v>
      </c>
      <c r="J106" s="24">
        <v>0.95</v>
      </c>
      <c r="K106" s="24">
        <v>0.8</v>
      </c>
      <c r="L106" s="24">
        <v>1</v>
      </c>
      <c r="M106" s="24">
        <v>0.86</v>
      </c>
    </row>
    <row r="107" spans="2:17" ht="15.75" hidden="1" customHeight="1" x14ac:dyDescent="0.25">
      <c r="B107" s="23" t="s">
        <v>138</v>
      </c>
      <c r="C107" s="177"/>
      <c r="D107">
        <v>4</v>
      </c>
      <c r="E107">
        <v>1</v>
      </c>
      <c r="F107">
        <v>4</v>
      </c>
      <c r="G107">
        <v>1</v>
      </c>
      <c r="H107">
        <v>0</v>
      </c>
      <c r="I107">
        <v>49</v>
      </c>
      <c r="J107">
        <v>37</v>
      </c>
      <c r="K107">
        <v>4</v>
      </c>
      <c r="L107">
        <v>34</v>
      </c>
      <c r="M107">
        <v>44</v>
      </c>
    </row>
    <row r="108" spans="2:17" hidden="1" x14ac:dyDescent="0.25"/>
    <row r="109" spans="2:17" ht="15.75" hidden="1" customHeight="1" x14ac:dyDescent="0.25">
      <c r="B109" s="217" t="s">
        <v>144</v>
      </c>
      <c r="C109" s="220"/>
      <c r="D109" s="222"/>
      <c r="E109" s="220"/>
      <c r="F109" s="220"/>
      <c r="G109" s="220"/>
      <c r="H109" s="222"/>
      <c r="I109" s="222"/>
      <c r="J109" s="222"/>
      <c r="K109" s="222"/>
      <c r="L109" s="222"/>
      <c r="M109" s="222"/>
      <c r="N109" s="222"/>
    </row>
    <row r="110" spans="2:17" ht="15.75" hidden="1" customHeight="1" x14ac:dyDescent="0.25">
      <c r="B110" s="183"/>
      <c r="C110" s="232" t="s">
        <v>71</v>
      </c>
      <c r="E110" s="232" t="s">
        <v>71</v>
      </c>
      <c r="F110" s="232" t="s">
        <v>71</v>
      </c>
      <c r="G110" s="232" t="s">
        <v>71</v>
      </c>
      <c r="H110" s="232" t="s">
        <v>71</v>
      </c>
      <c r="I110" s="242" t="s">
        <v>89</v>
      </c>
      <c r="J110" s="242" t="s">
        <v>70</v>
      </c>
      <c r="K110" s="242" t="s">
        <v>67</v>
      </c>
      <c r="L110" s="242" t="s">
        <v>71</v>
      </c>
    </row>
    <row r="111" spans="2:17" ht="15.75" hidden="1" customHeight="1" x14ac:dyDescent="0.25">
      <c r="B111" s="183"/>
      <c r="C111" s="195" t="s">
        <v>145</v>
      </c>
      <c r="E111" s="195" t="s">
        <v>146</v>
      </c>
      <c r="F111" s="195" t="s">
        <v>147</v>
      </c>
      <c r="G111" s="194" t="s">
        <v>166</v>
      </c>
      <c r="H111" s="195" t="s">
        <v>146</v>
      </c>
      <c r="I111" s="194" t="s">
        <v>71</v>
      </c>
      <c r="J111" s="194" t="s">
        <v>208</v>
      </c>
      <c r="K111" s="194" t="s">
        <v>89</v>
      </c>
      <c r="L111" s="194" t="s">
        <v>255</v>
      </c>
    </row>
    <row r="112" spans="2:17" ht="15.75" hidden="1" customHeight="1" x14ac:dyDescent="0.25">
      <c r="B112" s="183"/>
      <c r="C112" s="195" t="s">
        <v>105</v>
      </c>
      <c r="E112" s="195" t="s">
        <v>148</v>
      </c>
      <c r="F112" s="195" t="s">
        <v>149</v>
      </c>
      <c r="G112" s="194" t="s">
        <v>167</v>
      </c>
      <c r="H112" s="194" t="s">
        <v>103</v>
      </c>
      <c r="I112" s="194" t="s">
        <v>102</v>
      </c>
      <c r="J112" s="194" t="s">
        <v>71</v>
      </c>
      <c r="K112" s="194" t="s">
        <v>70</v>
      </c>
      <c r="L112" s="194" t="s">
        <v>70</v>
      </c>
    </row>
    <row r="113" spans="2:14" ht="15.75" hidden="1" customHeight="1" x14ac:dyDescent="0.25">
      <c r="B113" s="183"/>
      <c r="E113" s="195" t="s">
        <v>83</v>
      </c>
      <c r="F113" s="195" t="s">
        <v>148</v>
      </c>
      <c r="G113" s="194" t="s">
        <v>168</v>
      </c>
      <c r="H113" s="194" t="s">
        <v>180</v>
      </c>
      <c r="I113" s="194" t="s">
        <v>150</v>
      </c>
      <c r="J113" s="194" t="s">
        <v>89</v>
      </c>
      <c r="K113" s="194" t="s">
        <v>165</v>
      </c>
      <c r="L113" s="194" t="s">
        <v>256</v>
      </c>
    </row>
    <row r="114" spans="2:14" ht="15.75" hidden="1" customHeight="1" x14ac:dyDescent="0.25">
      <c r="B114" s="183"/>
      <c r="E114" s="195" t="s">
        <v>150</v>
      </c>
      <c r="F114" s="195" t="s">
        <v>83</v>
      </c>
      <c r="G114" s="194" t="s">
        <v>169</v>
      </c>
      <c r="H114" s="194" t="s">
        <v>102</v>
      </c>
      <c r="I114" s="194" t="s">
        <v>199</v>
      </c>
      <c r="J114" s="194" t="s">
        <v>209</v>
      </c>
      <c r="K114" s="194" t="s">
        <v>215</v>
      </c>
      <c r="L114" s="194" t="s">
        <v>89</v>
      </c>
    </row>
    <row r="115" spans="2:14" ht="15.75" hidden="1" customHeight="1" x14ac:dyDescent="0.25">
      <c r="B115" s="183"/>
      <c r="E115" s="195" t="s">
        <v>151</v>
      </c>
      <c r="F115" s="195" t="s">
        <v>152</v>
      </c>
      <c r="G115" s="194" t="s">
        <v>170</v>
      </c>
      <c r="H115" s="194" t="s">
        <v>129</v>
      </c>
      <c r="I115" s="194" t="s">
        <v>103</v>
      </c>
      <c r="J115" s="194" t="s">
        <v>210</v>
      </c>
      <c r="K115" s="194" t="s">
        <v>216</v>
      </c>
      <c r="L115" s="194" t="s">
        <v>126</v>
      </c>
    </row>
    <row r="116" spans="2:14" ht="15.75" hidden="1" customHeight="1" x14ac:dyDescent="0.25">
      <c r="B116" s="183"/>
      <c r="E116" s="195" t="s">
        <v>89</v>
      </c>
      <c r="F116" s="195" t="s">
        <v>70</v>
      </c>
      <c r="G116" s="194" t="s">
        <v>81</v>
      </c>
      <c r="H116" s="194" t="s">
        <v>145</v>
      </c>
      <c r="I116" s="194" t="s">
        <v>83</v>
      </c>
      <c r="J116" s="194" t="s">
        <v>199</v>
      </c>
      <c r="K116" s="194" t="s">
        <v>217</v>
      </c>
      <c r="L116" s="194" t="s">
        <v>172</v>
      </c>
    </row>
    <row r="117" spans="2:14" ht="15.75" hidden="1" customHeight="1" x14ac:dyDescent="0.25">
      <c r="B117" s="183"/>
      <c r="E117" s="195" t="s">
        <v>70</v>
      </c>
      <c r="F117" s="195" t="s">
        <v>153</v>
      </c>
      <c r="G117" s="194" t="s">
        <v>171</v>
      </c>
      <c r="H117" s="194" t="s">
        <v>181</v>
      </c>
      <c r="I117" s="194" t="s">
        <v>200</v>
      </c>
      <c r="J117" s="194" t="s">
        <v>211</v>
      </c>
      <c r="K117" s="194" t="s">
        <v>218</v>
      </c>
      <c r="L117" s="194" t="s">
        <v>257</v>
      </c>
    </row>
    <row r="118" spans="2:14" ht="15.75" hidden="1" customHeight="1" x14ac:dyDescent="0.25">
      <c r="B118" s="183"/>
      <c r="E118" s="195" t="s">
        <v>154</v>
      </c>
      <c r="F118" s="195" t="s">
        <v>81</v>
      </c>
      <c r="G118" s="194" t="s">
        <v>172</v>
      </c>
      <c r="H118" s="194" t="s">
        <v>182</v>
      </c>
      <c r="I118" s="194" t="s">
        <v>165</v>
      </c>
      <c r="J118" s="194" t="s">
        <v>193</v>
      </c>
      <c r="K118" s="194" t="s">
        <v>120</v>
      </c>
      <c r="L118" s="194" t="s">
        <v>115</v>
      </c>
    </row>
    <row r="119" spans="2:14" hidden="1" x14ac:dyDescent="0.25">
      <c r="E119" s="195" t="s">
        <v>67</v>
      </c>
      <c r="F119" s="195" t="s">
        <v>154</v>
      </c>
      <c r="G119" s="194" t="s">
        <v>173</v>
      </c>
      <c r="H119" s="194" t="s">
        <v>183</v>
      </c>
      <c r="I119" s="194" t="s">
        <v>70</v>
      </c>
      <c r="J119" s="194" t="s">
        <v>212</v>
      </c>
      <c r="K119" s="194" t="s">
        <v>219</v>
      </c>
      <c r="L119" s="194" t="s">
        <v>199</v>
      </c>
    </row>
    <row r="120" spans="2:14" hidden="1" x14ac:dyDescent="0.25">
      <c r="K120" s="194" t="s">
        <v>169</v>
      </c>
      <c r="L120" s="194" t="s">
        <v>258</v>
      </c>
    </row>
    <row r="121" spans="2:14" hidden="1" x14ac:dyDescent="0.25">
      <c r="B121" s="222" t="s">
        <v>242</v>
      </c>
      <c r="C121" s="222"/>
      <c r="D121" s="222"/>
      <c r="E121" s="222"/>
      <c r="F121" s="222"/>
      <c r="G121" s="222"/>
      <c r="H121" s="222"/>
      <c r="I121" s="222"/>
      <c r="J121" s="222"/>
      <c r="K121" s="222"/>
      <c r="L121" s="222"/>
      <c r="M121" s="222"/>
      <c r="N121" s="222"/>
    </row>
    <row r="122" spans="2:14" hidden="1" x14ac:dyDescent="0.25">
      <c r="B122" s="263" t="s">
        <v>231</v>
      </c>
      <c r="K122" s="264">
        <v>13109.94</v>
      </c>
    </row>
    <row r="123" spans="2:14" hidden="1" x14ac:dyDescent="0.25">
      <c r="K123" s="264"/>
    </row>
    <row r="124" spans="2:14" hidden="1" x14ac:dyDescent="0.25">
      <c r="B124" s="263" t="s">
        <v>232</v>
      </c>
      <c r="K124" s="264">
        <v>9239.98</v>
      </c>
    </row>
    <row r="125" spans="2:14" hidden="1" x14ac:dyDescent="0.25">
      <c r="B125" s="263" t="s">
        <v>233</v>
      </c>
      <c r="K125" s="264">
        <v>3869.96</v>
      </c>
    </row>
    <row r="126" spans="2:14" hidden="1" x14ac:dyDescent="0.25">
      <c r="B126" s="263" t="s">
        <v>234</v>
      </c>
    </row>
    <row r="127" spans="2:14" hidden="1" x14ac:dyDescent="0.25"/>
    <row r="128" spans="2:14" hidden="1" x14ac:dyDescent="0.25"/>
    <row r="129" spans="2:20" hidden="1" x14ac:dyDescent="0.25">
      <c r="B129" s="222" t="s">
        <v>238</v>
      </c>
      <c r="K129" s="264"/>
    </row>
    <row r="130" spans="2:20" hidden="1" x14ac:dyDescent="0.25">
      <c r="B130" s="263" t="s">
        <v>231</v>
      </c>
      <c r="K130" s="264">
        <v>9290.94</v>
      </c>
    </row>
    <row r="131" spans="2:20" hidden="1" x14ac:dyDescent="0.25">
      <c r="K131" s="264"/>
    </row>
    <row r="132" spans="2:20" hidden="1" x14ac:dyDescent="0.25">
      <c r="B132" s="263" t="s">
        <v>232</v>
      </c>
      <c r="K132" s="264">
        <v>4366.32</v>
      </c>
    </row>
    <row r="133" spans="2:20" hidden="1" x14ac:dyDescent="0.25">
      <c r="B133" s="263" t="s">
        <v>233</v>
      </c>
      <c r="K133" s="264">
        <v>4924.62</v>
      </c>
    </row>
    <row r="134" spans="2:20" hidden="1" x14ac:dyDescent="0.25">
      <c r="B134" s="263" t="s">
        <v>234</v>
      </c>
      <c r="K134" s="264"/>
    </row>
    <row r="135" spans="2:20" x14ac:dyDescent="0.25">
      <c r="B135" s="263"/>
      <c r="K135" s="264"/>
    </row>
    <row r="136" spans="2:20" ht="18.75" x14ac:dyDescent="0.3">
      <c r="L136" s="365"/>
      <c r="M136" s="365"/>
    </row>
    <row r="137" spans="2:20" ht="15.75" customHeight="1" x14ac:dyDescent="0.25">
      <c r="B137" s="1">
        <v>2025</v>
      </c>
      <c r="C137" s="2" t="s">
        <v>0</v>
      </c>
      <c r="D137" s="2" t="s">
        <v>1</v>
      </c>
      <c r="E137" s="3" t="s">
        <v>2</v>
      </c>
      <c r="F137" s="3" t="s">
        <v>3</v>
      </c>
      <c r="G137" s="3" t="s">
        <v>4</v>
      </c>
      <c r="H137" s="2" t="s">
        <v>5</v>
      </c>
      <c r="I137" s="2" t="s">
        <v>6</v>
      </c>
      <c r="J137" s="3" t="s">
        <v>7</v>
      </c>
      <c r="K137" s="3" t="s">
        <v>8</v>
      </c>
      <c r="L137" s="3" t="s">
        <v>9</v>
      </c>
      <c r="M137" s="3" t="s">
        <v>10</v>
      </c>
      <c r="N137" s="2" t="s">
        <v>11</v>
      </c>
      <c r="O137" s="168"/>
      <c r="P137" s="42"/>
      <c r="Q137" s="43"/>
      <c r="R137" s="4"/>
      <c r="T137" s="44"/>
    </row>
    <row r="138" spans="2:20" ht="19.5" customHeight="1" x14ac:dyDescent="0.3">
      <c r="B138" s="165" t="s">
        <v>259</v>
      </c>
      <c r="C138" s="7">
        <f>C81*1.15</f>
        <v>17614.860499999999</v>
      </c>
      <c r="D138" s="7">
        <f t="shared" ref="D138:N138" si="24">D81*1.15</f>
        <v>17400.293499999996</v>
      </c>
      <c r="E138" s="7">
        <f t="shared" si="24"/>
        <v>15308.903499999999</v>
      </c>
      <c r="F138" s="7">
        <f t="shared" si="24"/>
        <v>22390.718500000003</v>
      </c>
      <c r="G138" s="7">
        <f t="shared" si="24"/>
        <v>22090.694999999996</v>
      </c>
      <c r="H138" s="7">
        <f t="shared" si="24"/>
        <v>20176.1865</v>
      </c>
      <c r="I138" s="7">
        <f t="shared" si="24"/>
        <v>26864.3105</v>
      </c>
      <c r="J138" s="7">
        <f t="shared" si="24"/>
        <v>17632.903999999999</v>
      </c>
      <c r="K138" s="7">
        <f t="shared" si="24"/>
        <v>16190.412999999997</v>
      </c>
      <c r="L138" s="7">
        <f t="shared" si="24"/>
        <v>22143.388000000003</v>
      </c>
      <c r="M138" s="7">
        <f t="shared" si="24"/>
        <v>22539.240999999998</v>
      </c>
      <c r="N138" s="7">
        <f t="shared" si="24"/>
        <v>15021.714</v>
      </c>
      <c r="O138" s="7">
        <f>SUM(C138:N138)</f>
        <v>235373.62800000003</v>
      </c>
      <c r="P138" s="13"/>
      <c r="Q138" s="13"/>
      <c r="R138" s="12"/>
      <c r="T138" s="36"/>
    </row>
    <row r="139" spans="2:20" ht="15.75" customHeight="1" x14ac:dyDescent="0.25">
      <c r="B139" s="166" t="s">
        <v>13</v>
      </c>
      <c r="C139" s="46">
        <v>10536.06</v>
      </c>
      <c r="D139" s="46">
        <v>11824.35</v>
      </c>
      <c r="E139" s="46">
        <v>12920.69</v>
      </c>
      <c r="F139" s="46">
        <v>13309.14</v>
      </c>
      <c r="G139" s="46">
        <v>12342</v>
      </c>
      <c r="H139" s="46">
        <v>7944.81</v>
      </c>
      <c r="I139" s="46">
        <v>19331.919999999998</v>
      </c>
      <c r="J139" s="46">
        <v>12425.75</v>
      </c>
      <c r="K139" s="4">
        <v>16745.330000000002</v>
      </c>
      <c r="L139" s="4">
        <v>23627.63</v>
      </c>
      <c r="M139" s="46">
        <v>17002.78</v>
      </c>
      <c r="N139" s="4"/>
      <c r="O139" s="4"/>
      <c r="P139" s="33"/>
      <c r="Q139" s="33"/>
    </row>
    <row r="140" spans="2:20" ht="15.75" customHeight="1" x14ac:dyDescent="0.25">
      <c r="B140" s="167" t="s">
        <v>14</v>
      </c>
      <c r="C140" s="48">
        <v>10890</v>
      </c>
      <c r="D140" s="48">
        <v>9002</v>
      </c>
      <c r="E140" s="48">
        <v>8631</v>
      </c>
      <c r="F140" s="46">
        <v>13116</v>
      </c>
      <c r="G140" s="46">
        <v>21304.86</v>
      </c>
      <c r="H140" s="46">
        <v>12555</v>
      </c>
      <c r="I140" s="46">
        <v>9924.0499999999993</v>
      </c>
      <c r="J140" s="48">
        <v>19257.45</v>
      </c>
      <c r="K140" s="4">
        <v>17095</v>
      </c>
      <c r="L140" s="12">
        <v>19283</v>
      </c>
      <c r="M140" s="4">
        <v>18634</v>
      </c>
      <c r="N140" s="12"/>
      <c r="O140" s="12"/>
      <c r="P140" s="41"/>
      <c r="Q140" s="41"/>
      <c r="R140" s="12"/>
    </row>
    <row r="141" spans="2:20" ht="18.75" x14ac:dyDescent="0.3">
      <c r="B141" s="274" t="s">
        <v>260</v>
      </c>
      <c r="C141" s="246">
        <f>C140+C139</f>
        <v>21426.059999999998</v>
      </c>
      <c r="D141" s="246">
        <f t="shared" ref="D141:M141" si="25">D139+D140</f>
        <v>20826.349999999999</v>
      </c>
      <c r="E141" s="246">
        <f t="shared" si="25"/>
        <v>21551.690000000002</v>
      </c>
      <c r="F141" s="246">
        <f t="shared" si="25"/>
        <v>26425.14</v>
      </c>
      <c r="G141" s="246">
        <f t="shared" si="25"/>
        <v>33646.86</v>
      </c>
      <c r="H141" s="246">
        <f t="shared" si="25"/>
        <v>20499.810000000001</v>
      </c>
      <c r="I141" s="246">
        <f t="shared" si="25"/>
        <v>29255.969999999998</v>
      </c>
      <c r="J141" s="246">
        <f t="shared" si="25"/>
        <v>31683.200000000001</v>
      </c>
      <c r="K141" s="246">
        <f t="shared" si="25"/>
        <v>33840.33</v>
      </c>
      <c r="L141" s="247">
        <f t="shared" si="25"/>
        <v>42910.630000000005</v>
      </c>
      <c r="M141" s="7">
        <f t="shared" si="25"/>
        <v>35636.78</v>
      </c>
      <c r="N141" s="7">
        <f>N138</f>
        <v>15021.714</v>
      </c>
      <c r="O141" s="7">
        <f>SUM(C141:N141)</f>
        <v>332724.53400000004</v>
      </c>
      <c r="P141" s="31"/>
      <c r="Q141" s="31"/>
    </row>
    <row r="142" spans="2:20" ht="15.75" customHeight="1" x14ac:dyDescent="0.25">
      <c r="B142" s="14" t="s">
        <v>111</v>
      </c>
      <c r="C142" s="16">
        <f t="shared" ref="C142:I142" si="26">C141/C138-1</f>
        <v>0.21636274099360597</v>
      </c>
      <c r="D142" s="16">
        <f t="shared" si="26"/>
        <v>0.19689647763700102</v>
      </c>
      <c r="E142" s="16">
        <f t="shared" si="26"/>
        <v>0.40778795816434554</v>
      </c>
      <c r="F142" s="16">
        <f t="shared" si="26"/>
        <v>0.18018276188859228</v>
      </c>
      <c r="G142" s="16">
        <f t="shared" si="26"/>
        <v>0.52312365002549743</v>
      </c>
      <c r="H142" s="16">
        <f t="shared" si="26"/>
        <v>1.6039874532285836E-2</v>
      </c>
      <c r="I142" s="16">
        <f t="shared" si="26"/>
        <v>8.9027391936971512E-2</v>
      </c>
      <c r="P142" s="22"/>
      <c r="Q142" s="22"/>
    </row>
    <row r="143" spans="2:20" ht="15.75" customHeight="1" x14ac:dyDescent="0.25">
      <c r="B143" s="14" t="s">
        <v>17</v>
      </c>
      <c r="C143" s="85">
        <f t="shared" ref="C143:H143" si="27">(C141/C81)-1</f>
        <v>0.39881715214264668</v>
      </c>
      <c r="D143" s="85">
        <f t="shared" si="27"/>
        <v>0.37643094928255083</v>
      </c>
      <c r="E143" s="85">
        <f t="shared" si="27"/>
        <v>0.61895615188899722</v>
      </c>
      <c r="F143" s="85">
        <f t="shared" si="27"/>
        <v>0.35721017617188111</v>
      </c>
      <c r="G143" s="85">
        <f t="shared" si="27"/>
        <v>0.75159219752932183</v>
      </c>
      <c r="H143" s="85">
        <f t="shared" si="27"/>
        <v>0.16844585571212867</v>
      </c>
      <c r="I143" s="85">
        <f t="shared" ref="I143:N143" si="28">(I141/I81)-1</f>
        <v>0.25238150072751719</v>
      </c>
      <c r="J143" s="85">
        <f t="shared" si="28"/>
        <v>1.0663459632060608</v>
      </c>
      <c r="K143" s="85">
        <f t="shared" si="28"/>
        <v>1.4036681151987911</v>
      </c>
      <c r="L143" s="85">
        <f t="shared" si="28"/>
        <v>1.2285309050268189</v>
      </c>
      <c r="M143" s="85">
        <f t="shared" si="28"/>
        <v>0.81826428849134714</v>
      </c>
      <c r="N143" s="85">
        <f t="shared" si="28"/>
        <v>0.14999999999999991</v>
      </c>
      <c r="O143" s="43"/>
      <c r="P143" s="43"/>
      <c r="Q143" s="43"/>
    </row>
    <row r="144" spans="2:20" ht="13.5" customHeight="1" x14ac:dyDescent="0.25">
      <c r="B144" s="14"/>
      <c r="C144" s="17"/>
      <c r="D144" s="17"/>
      <c r="E144" s="17"/>
      <c r="F144" s="17"/>
      <c r="G144" s="17"/>
      <c r="H144" s="17"/>
      <c r="I144" s="17"/>
      <c r="J144" s="17"/>
      <c r="O144" s="43"/>
      <c r="P144" s="43"/>
      <c r="Q144" s="43"/>
    </row>
    <row r="145" spans="2:17" ht="15.75" hidden="1" customHeight="1" x14ac:dyDescent="0.3">
      <c r="B145" s="5" t="s">
        <v>34</v>
      </c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</row>
    <row r="146" spans="2:17" ht="15.75" hidden="1" customHeight="1" x14ac:dyDescent="0.25">
      <c r="B146" s="14" t="s">
        <v>34</v>
      </c>
      <c r="C146" s="18">
        <f>C147+C148</f>
        <v>24551.699999999997</v>
      </c>
      <c r="D146" s="18">
        <f t="shared" ref="D146:N146" si="29">D147+D148</f>
        <v>22571.800000000003</v>
      </c>
      <c r="E146" s="18">
        <f t="shared" si="29"/>
        <v>28384.5</v>
      </c>
      <c r="F146" s="18">
        <f t="shared" si="29"/>
        <v>33388.990000000005</v>
      </c>
      <c r="G146" s="18">
        <f t="shared" si="29"/>
        <v>34917.279999999999</v>
      </c>
      <c r="H146" s="18">
        <f t="shared" si="29"/>
        <v>29312.98</v>
      </c>
      <c r="I146" s="18">
        <f t="shared" si="29"/>
        <v>22282.52</v>
      </c>
      <c r="J146" s="18">
        <f t="shared" si="29"/>
        <v>38425.199999999997</v>
      </c>
      <c r="K146" s="18">
        <f t="shared" si="29"/>
        <v>32719.17</v>
      </c>
      <c r="L146" s="18">
        <f t="shared" si="29"/>
        <v>32927.040000000001</v>
      </c>
      <c r="M146" s="18">
        <f t="shared" si="29"/>
        <v>0</v>
      </c>
      <c r="N146" s="18">
        <f t="shared" si="29"/>
        <v>0</v>
      </c>
    </row>
    <row r="147" spans="2:17" ht="15.75" hidden="1" customHeight="1" x14ac:dyDescent="0.25">
      <c r="B147" s="14" t="s">
        <v>36</v>
      </c>
      <c r="C147" s="18">
        <v>16392.05</v>
      </c>
      <c r="D147" s="18">
        <v>13733.7</v>
      </c>
      <c r="E147" s="18">
        <v>10707.37</v>
      </c>
      <c r="F147" s="18">
        <v>18392.060000000001</v>
      </c>
      <c r="G147" s="18">
        <v>18463.78</v>
      </c>
      <c r="H147" s="18">
        <v>20014.32</v>
      </c>
      <c r="I147" s="18">
        <v>13245.11</v>
      </c>
      <c r="J147" s="18">
        <v>26887.200000000001</v>
      </c>
      <c r="K147" s="18">
        <v>22391.62</v>
      </c>
      <c r="L147" s="18">
        <v>21251.89</v>
      </c>
      <c r="M147" s="18"/>
      <c r="N147" s="18"/>
    </row>
    <row r="148" spans="2:17" ht="15.75" hidden="1" customHeight="1" x14ac:dyDescent="0.25">
      <c r="B148" s="82" t="s">
        <v>37</v>
      </c>
      <c r="C148" s="84">
        <v>8159.65</v>
      </c>
      <c r="D148" s="84">
        <v>8838.1</v>
      </c>
      <c r="E148" s="84">
        <v>17677.13</v>
      </c>
      <c r="F148" s="84">
        <v>14996.93</v>
      </c>
      <c r="G148" s="84">
        <v>16453.5</v>
      </c>
      <c r="H148" s="84">
        <v>9298.66</v>
      </c>
      <c r="I148" s="84">
        <v>9037.41</v>
      </c>
      <c r="J148" s="84">
        <v>11538</v>
      </c>
      <c r="K148" s="84">
        <v>10327.549999999999</v>
      </c>
      <c r="L148" s="84">
        <v>11675.15</v>
      </c>
      <c r="M148" s="84"/>
      <c r="N148" s="84"/>
    </row>
    <row r="149" spans="2:17" ht="15.75" hidden="1" customHeight="1" x14ac:dyDescent="0.25">
      <c r="B149" s="14" t="s">
        <v>38</v>
      </c>
      <c r="C149" s="85">
        <f t="shared" ref="C149:N149" si="30">C147/C146</f>
        <v>0.66765437831188879</v>
      </c>
      <c r="D149" s="85">
        <f t="shared" si="30"/>
        <v>0.60844505090422563</v>
      </c>
      <c r="E149" s="85">
        <f t="shared" si="30"/>
        <v>0.37722595078299781</v>
      </c>
      <c r="F149" s="85">
        <f t="shared" si="30"/>
        <v>0.55084205901406413</v>
      </c>
      <c r="G149" s="85">
        <f t="shared" si="30"/>
        <v>0.52878632012573712</v>
      </c>
      <c r="H149" s="85">
        <f t="shared" si="30"/>
        <v>0.6827801199332173</v>
      </c>
      <c r="I149" s="85">
        <f t="shared" si="30"/>
        <v>0.59441705875278017</v>
      </c>
      <c r="J149" s="85">
        <f t="shared" si="30"/>
        <v>0.69972830330095881</v>
      </c>
      <c r="K149" s="85">
        <f t="shared" si="30"/>
        <v>0.6843578244802665</v>
      </c>
      <c r="L149" s="85">
        <f t="shared" si="30"/>
        <v>0.64542363965907656</v>
      </c>
      <c r="M149" s="85" t="e">
        <f t="shared" si="30"/>
        <v>#DIV/0!</v>
      </c>
      <c r="N149" s="85" t="e">
        <f t="shared" si="30"/>
        <v>#DIV/0!</v>
      </c>
      <c r="Q149" s="22"/>
    </row>
    <row r="150" spans="2:17" s="122" customFormat="1" ht="15.75" hidden="1" customHeight="1" x14ac:dyDescent="0.25">
      <c r="B150" s="126" t="s">
        <v>42</v>
      </c>
      <c r="C150" s="373">
        <v>45965</v>
      </c>
      <c r="D150" s="377">
        <v>45965</v>
      </c>
      <c r="E150" s="377">
        <v>45965</v>
      </c>
      <c r="F150" s="373">
        <v>45965</v>
      </c>
      <c r="G150" s="373">
        <v>45965</v>
      </c>
      <c r="H150" s="373">
        <v>45965</v>
      </c>
      <c r="I150" s="373">
        <v>45965</v>
      </c>
      <c r="J150" s="373">
        <v>45965</v>
      </c>
      <c r="K150" s="373">
        <v>45965</v>
      </c>
      <c r="L150" s="376"/>
      <c r="M150" s="160"/>
      <c r="N150" s="121"/>
      <c r="Q150" s="127"/>
    </row>
    <row r="151" spans="2:17" s="123" customFormat="1" ht="15.75" hidden="1" customHeight="1" x14ac:dyDescent="0.25">
      <c r="B151" s="82" t="s">
        <v>37</v>
      </c>
      <c r="C151" s="374">
        <v>5250</v>
      </c>
      <c r="D151" s="374">
        <v>6001.36</v>
      </c>
      <c r="E151" s="374">
        <v>13082.15</v>
      </c>
      <c r="F151" s="375">
        <v>12079.88</v>
      </c>
      <c r="G151" s="375">
        <v>12457.73</v>
      </c>
      <c r="H151" s="375">
        <v>6141.6</v>
      </c>
      <c r="I151" s="375">
        <v>7646.7</v>
      </c>
      <c r="J151" s="375">
        <v>10773.71</v>
      </c>
      <c r="K151" s="375">
        <v>9380.33</v>
      </c>
      <c r="L151" s="375"/>
      <c r="M151" s="164"/>
      <c r="N151" s="125"/>
      <c r="Q151" s="128"/>
    </row>
    <row r="152" spans="2:17" s="123" customFormat="1" ht="15.75" hidden="1" customHeight="1" x14ac:dyDescent="0.25">
      <c r="B152" s="82"/>
      <c r="C152" s="206"/>
      <c r="D152" s="206"/>
      <c r="E152" s="206"/>
      <c r="F152" s="130"/>
      <c r="G152" s="375"/>
      <c r="H152" s="375"/>
      <c r="I152" s="375"/>
      <c r="J152" s="375"/>
      <c r="K152" s="375"/>
      <c r="L152" s="375"/>
      <c r="M152" s="164"/>
      <c r="N152" s="125"/>
      <c r="Q152" s="128"/>
    </row>
    <row r="153" spans="2:17" ht="15.75" hidden="1" customHeight="1" x14ac:dyDescent="0.25">
      <c r="B153" s="355" t="s">
        <v>43</v>
      </c>
      <c r="C153" s="321">
        <f t="shared" ref="C153:N153" si="31">C141+C148</f>
        <v>29585.71</v>
      </c>
      <c r="D153" s="321">
        <f t="shared" si="31"/>
        <v>29664.449999999997</v>
      </c>
      <c r="E153" s="321">
        <f t="shared" si="31"/>
        <v>39228.820000000007</v>
      </c>
      <c r="F153" s="321">
        <f t="shared" si="31"/>
        <v>41422.07</v>
      </c>
      <c r="G153" s="321">
        <f t="shared" si="31"/>
        <v>50100.36</v>
      </c>
      <c r="H153" s="321">
        <f t="shared" si="31"/>
        <v>29798.47</v>
      </c>
      <c r="I153" s="321">
        <f t="shared" si="31"/>
        <v>38293.379999999997</v>
      </c>
      <c r="J153" s="321">
        <f t="shared" si="31"/>
        <v>43221.2</v>
      </c>
      <c r="K153" s="321">
        <f t="shared" si="31"/>
        <v>44167.880000000005</v>
      </c>
      <c r="L153" s="321">
        <f t="shared" si="31"/>
        <v>54585.780000000006</v>
      </c>
      <c r="M153" s="321">
        <f t="shared" si="31"/>
        <v>35636.78</v>
      </c>
      <c r="N153" s="321">
        <f t="shared" si="31"/>
        <v>15021.714</v>
      </c>
      <c r="Q153" s="22"/>
    </row>
    <row r="154" spans="2:17" hidden="1" x14ac:dyDescent="0.25">
      <c r="B154" s="14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Q154" s="22"/>
    </row>
    <row r="155" spans="2:17" ht="15.75" hidden="1" customHeight="1" x14ac:dyDescent="0.25">
      <c r="B155" s="14" t="s">
        <v>44</v>
      </c>
      <c r="C155" s="192">
        <f>3455.52/10890</f>
        <v>0.31731129476584025</v>
      </c>
      <c r="D155" s="192">
        <f>2650.92/D140</f>
        <v>0.29448122639413465</v>
      </c>
      <c r="E155" s="192">
        <f>2317.54/8631</f>
        <v>0.26851349785656353</v>
      </c>
      <c r="F155" s="192">
        <f>3950.11/F140</f>
        <v>0.30116727660872217</v>
      </c>
      <c r="G155" s="85">
        <f>4045.23/G141</f>
        <v>0.12022607755968907</v>
      </c>
      <c r="H155" s="85">
        <f>3692.06/H141</f>
        <v>0.18010215704438234</v>
      </c>
      <c r="I155" s="85">
        <f>2914.21/I140</f>
        <v>0.29365128148286235</v>
      </c>
      <c r="J155" s="85">
        <f t="shared" ref="J155:K155" si="32">2914.21/J140</f>
        <v>0.15132896619230479</v>
      </c>
      <c r="K155" s="85">
        <f t="shared" si="32"/>
        <v>0.17047148288973385</v>
      </c>
      <c r="L155" s="85">
        <f>5177.97/L140</f>
        <v>0.26852512575844006</v>
      </c>
      <c r="M155" s="85"/>
      <c r="N155" s="85"/>
      <c r="O155" s="43"/>
      <c r="P155" s="43"/>
      <c r="Q155" s="43"/>
    </row>
    <row r="156" spans="2:17" ht="15.75" hidden="1" customHeight="1" x14ac:dyDescent="0.25">
      <c r="B156" s="14" t="s">
        <v>45</v>
      </c>
      <c r="C156" s="111">
        <f t="shared" ref="C156:N156" si="33">C148/C165</f>
        <v>57.505073261252889</v>
      </c>
      <c r="D156" s="111">
        <f t="shared" si="33"/>
        <v>55.592607442014568</v>
      </c>
      <c r="E156" s="111">
        <f t="shared" si="33"/>
        <v>104.98817679727205</v>
      </c>
      <c r="F156" s="111">
        <f t="shared" si="33"/>
        <v>87.96638920361444</v>
      </c>
      <c r="G156" s="111">
        <f t="shared" si="33"/>
        <v>80.685909472681843</v>
      </c>
      <c r="H156" s="111">
        <f t="shared" si="33"/>
        <v>57.606866600227029</v>
      </c>
      <c r="I156" s="111">
        <f t="shared" si="33"/>
        <v>42.629336166259407</v>
      </c>
      <c r="J156" s="111">
        <f t="shared" si="33"/>
        <v>69.191874558125434</v>
      </c>
      <c r="K156" s="111">
        <f t="shared" si="33"/>
        <v>58.900641630858793</v>
      </c>
      <c r="L156" s="111">
        <f t="shared" si="33"/>
        <v>61.762296428647161</v>
      </c>
      <c r="M156" s="111">
        <f t="shared" si="33"/>
        <v>0</v>
      </c>
      <c r="N156" s="111" t="e">
        <f t="shared" si="33"/>
        <v>#DIV/0!</v>
      </c>
      <c r="O156" s="43"/>
      <c r="P156" s="43"/>
      <c r="Q156" s="43"/>
    </row>
    <row r="157" spans="2:17" ht="14.25" hidden="1" customHeight="1" x14ac:dyDescent="0.25">
      <c r="B157" s="14"/>
      <c r="C157" s="17"/>
      <c r="D157" s="17"/>
      <c r="E157" s="17"/>
      <c r="F157" s="17"/>
      <c r="G157" s="17"/>
      <c r="H157" s="17"/>
      <c r="I157" s="17"/>
      <c r="J157" s="297"/>
      <c r="O157" s="43"/>
      <c r="P157" s="43"/>
      <c r="Q157" s="43"/>
    </row>
    <row r="158" spans="2:17" ht="14.25" hidden="1" customHeight="1" x14ac:dyDescent="0.25">
      <c r="B158" s="14" t="s">
        <v>412</v>
      </c>
      <c r="C158" s="80">
        <f t="shared" ref="C158:J158" si="34">C141/1</f>
        <v>21426.059999999998</v>
      </c>
      <c r="D158" s="80">
        <f t="shared" si="34"/>
        <v>20826.349999999999</v>
      </c>
      <c r="E158" s="80">
        <f t="shared" si="34"/>
        <v>21551.690000000002</v>
      </c>
      <c r="F158" s="80">
        <f t="shared" si="34"/>
        <v>26425.14</v>
      </c>
      <c r="G158" s="80">
        <f t="shared" si="34"/>
        <v>33646.86</v>
      </c>
      <c r="H158" s="80">
        <f t="shared" si="34"/>
        <v>20499.810000000001</v>
      </c>
      <c r="I158" s="80">
        <f t="shared" si="34"/>
        <v>29255.969999999998</v>
      </c>
      <c r="J158" s="371">
        <f t="shared" si="34"/>
        <v>31683.200000000001</v>
      </c>
      <c r="K158" s="80">
        <f>K141/2</f>
        <v>16920.165000000001</v>
      </c>
      <c r="L158" s="80">
        <f>L141/2</f>
        <v>21455.315000000002</v>
      </c>
      <c r="O158" s="43"/>
      <c r="P158" s="43"/>
      <c r="Q158" s="43"/>
    </row>
    <row r="159" spans="2:17" ht="14.25" hidden="1" customHeight="1" x14ac:dyDescent="0.25">
      <c r="B159" s="14"/>
      <c r="C159" s="17"/>
      <c r="D159" s="17"/>
      <c r="E159" s="17"/>
      <c r="F159" s="17"/>
      <c r="G159" s="17"/>
      <c r="H159" s="17"/>
      <c r="I159" s="17"/>
      <c r="J159" s="297"/>
      <c r="K159" s="278"/>
      <c r="L159" s="278"/>
      <c r="O159" s="43"/>
      <c r="P159" s="43"/>
      <c r="Q159" s="43"/>
    </row>
    <row r="160" spans="2:17" ht="15.75" hidden="1" customHeight="1" x14ac:dyDescent="0.25">
      <c r="B160" s="23" t="s">
        <v>39</v>
      </c>
      <c r="C160" s="114">
        <v>57</v>
      </c>
      <c r="D160" s="114">
        <v>51</v>
      </c>
      <c r="E160" s="297">
        <v>45</v>
      </c>
      <c r="F160" s="297">
        <v>54</v>
      </c>
      <c r="G160" s="297">
        <v>61</v>
      </c>
      <c r="H160" s="297">
        <v>44</v>
      </c>
      <c r="I160" s="297">
        <v>48</v>
      </c>
      <c r="J160" s="297">
        <v>77</v>
      </c>
      <c r="K160" s="297">
        <v>74</v>
      </c>
      <c r="L160" s="297">
        <v>85</v>
      </c>
      <c r="M160" s="378">
        <v>70</v>
      </c>
      <c r="N160" s="17"/>
    </row>
    <row r="161" spans="2:14" ht="15.75" hidden="1" customHeight="1" x14ac:dyDescent="0.25">
      <c r="B161" s="23" t="s">
        <v>22</v>
      </c>
      <c r="C161" s="278">
        <f>112+39</f>
        <v>151</v>
      </c>
      <c r="D161" s="278">
        <f>26+105</f>
        <v>131</v>
      </c>
      <c r="E161" s="278">
        <f>92+36</f>
        <v>128</v>
      </c>
      <c r="F161" s="278">
        <f>36+119</f>
        <v>155</v>
      </c>
      <c r="G161" s="278">
        <f>52+113</f>
        <v>165</v>
      </c>
      <c r="H161" s="278">
        <f>105+22</f>
        <v>127</v>
      </c>
      <c r="I161" s="278">
        <f>35+103</f>
        <v>138</v>
      </c>
      <c r="J161" s="278">
        <v>190</v>
      </c>
      <c r="K161" s="278">
        <f>150+43</f>
        <v>193</v>
      </c>
      <c r="L161" s="278">
        <f>170+57</f>
        <v>227</v>
      </c>
      <c r="M161" s="278">
        <v>179</v>
      </c>
    </row>
    <row r="162" spans="2:14" ht="15.75" hidden="1" customHeight="1" x14ac:dyDescent="0.25">
      <c r="B162" s="23" t="s">
        <v>23</v>
      </c>
      <c r="C162" s="278">
        <f>575+1041</f>
        <v>1616</v>
      </c>
      <c r="D162" s="279">
        <f>690+573</f>
        <v>1263</v>
      </c>
      <c r="E162" s="278">
        <f>759+710</f>
        <v>1469</v>
      </c>
      <c r="F162" s="278">
        <f>680+1157</f>
        <v>1837</v>
      </c>
      <c r="G162" s="278">
        <f>1120+1061</f>
        <v>2181</v>
      </c>
      <c r="H162" s="278">
        <f>1002+330</f>
        <v>1332</v>
      </c>
      <c r="I162" s="278">
        <f>892+903</f>
        <v>1795</v>
      </c>
      <c r="J162" s="279">
        <v>1695</v>
      </c>
      <c r="K162" s="278">
        <f>1573+845</f>
        <v>2418</v>
      </c>
      <c r="L162" s="278">
        <f>1747+1261</f>
        <v>3008</v>
      </c>
      <c r="M162" s="278">
        <v>2385</v>
      </c>
    </row>
    <row r="163" spans="2:14" ht="15.75" hidden="1" customHeight="1" x14ac:dyDescent="0.25">
      <c r="B163" s="23" t="s">
        <v>214</v>
      </c>
      <c r="C163" s="282">
        <f>C161/22</f>
        <v>6.8636363636363633</v>
      </c>
      <c r="D163" s="282">
        <f t="shared" ref="D163:N163" si="35">D161/22</f>
        <v>5.9545454545454541</v>
      </c>
      <c r="E163" s="298">
        <f t="shared" si="35"/>
        <v>5.8181818181818183</v>
      </c>
      <c r="F163" s="282">
        <f t="shared" si="35"/>
        <v>7.0454545454545459</v>
      </c>
      <c r="G163" s="282">
        <f t="shared" si="35"/>
        <v>7.5</v>
      </c>
      <c r="H163" s="282">
        <f t="shared" si="35"/>
        <v>5.7727272727272725</v>
      </c>
      <c r="I163" s="282">
        <f t="shared" si="35"/>
        <v>6.2727272727272725</v>
      </c>
      <c r="J163" s="282">
        <f t="shared" si="35"/>
        <v>8.6363636363636367</v>
      </c>
      <c r="K163" s="282">
        <f t="shared" si="35"/>
        <v>8.7727272727272734</v>
      </c>
      <c r="L163" s="282">
        <f t="shared" si="35"/>
        <v>10.318181818181818</v>
      </c>
      <c r="M163" s="282">
        <f t="shared" si="35"/>
        <v>8.1363636363636367</v>
      </c>
      <c r="N163" s="282">
        <f t="shared" si="35"/>
        <v>0</v>
      </c>
    </row>
    <row r="164" spans="2:14" ht="15.75" hidden="1" customHeight="1" x14ac:dyDescent="0.25">
      <c r="B164" s="23" t="s">
        <v>49</v>
      </c>
      <c r="C164" s="102">
        <f>C162/C161</f>
        <v>10.701986754966887</v>
      </c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</row>
    <row r="165" spans="2:14" ht="15.75" hidden="1" customHeight="1" x14ac:dyDescent="0.25">
      <c r="B165" s="23" t="s">
        <v>50</v>
      </c>
      <c r="C165" s="38">
        <f t="shared" ref="C165:N165" si="36">C141/C161</f>
        <v>141.89443708609269</v>
      </c>
      <c r="D165" s="38">
        <f t="shared" si="36"/>
        <v>158.97977099236641</v>
      </c>
      <c r="E165" s="38">
        <f t="shared" si="36"/>
        <v>168.37257812500002</v>
      </c>
      <c r="F165" s="38">
        <f t="shared" si="36"/>
        <v>170.48477419354839</v>
      </c>
      <c r="G165" s="38">
        <f t="shared" si="36"/>
        <v>203.92036363636365</v>
      </c>
      <c r="H165" s="38">
        <f t="shared" si="36"/>
        <v>161.41582677165354</v>
      </c>
      <c r="I165" s="38">
        <f t="shared" si="36"/>
        <v>211.99978260869563</v>
      </c>
      <c r="J165" s="38">
        <f t="shared" si="36"/>
        <v>166.75368421052633</v>
      </c>
      <c r="K165" s="38">
        <f t="shared" si="36"/>
        <v>175.33849740932644</v>
      </c>
      <c r="L165" s="38">
        <f t="shared" si="36"/>
        <v>189.03361233480177</v>
      </c>
      <c r="M165" s="38">
        <f t="shared" si="36"/>
        <v>199.088156424581</v>
      </c>
      <c r="N165" s="38" t="e">
        <f t="shared" si="36"/>
        <v>#DIV/0!</v>
      </c>
    </row>
    <row r="166" spans="2:14" ht="15.75" hidden="1" customHeight="1" x14ac:dyDescent="0.25">
      <c r="B166" s="23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</row>
    <row r="167" spans="2:14" ht="15.75" hidden="1" customHeight="1" x14ac:dyDescent="0.25">
      <c r="B167" s="23" t="s">
        <v>97</v>
      </c>
      <c r="C167" s="281">
        <v>0.98</v>
      </c>
      <c r="D167" s="113">
        <v>1</v>
      </c>
      <c r="E167" s="299">
        <v>0.91</v>
      </c>
      <c r="F167" s="24"/>
      <c r="G167" s="299">
        <v>0.93</v>
      </c>
      <c r="H167" s="299">
        <v>0.79</v>
      </c>
      <c r="I167" s="299">
        <v>0.95</v>
      </c>
      <c r="J167" s="24"/>
      <c r="K167" s="24"/>
      <c r="L167" s="24"/>
      <c r="M167" s="24"/>
    </row>
    <row r="168" spans="2:14" ht="15.75" hidden="1" customHeight="1" x14ac:dyDescent="0.25">
      <c r="B168" s="23" t="s">
        <v>138</v>
      </c>
      <c r="C168" s="236">
        <v>47</v>
      </c>
      <c r="D168" s="278">
        <v>32</v>
      </c>
      <c r="E168" s="278">
        <v>44</v>
      </c>
      <c r="G168" s="278">
        <v>30</v>
      </c>
      <c r="H168" s="278">
        <v>14</v>
      </c>
      <c r="I168" s="278">
        <v>21</v>
      </c>
    </row>
    <row r="169" spans="2:14" hidden="1" x14ac:dyDescent="0.25">
      <c r="H169" s="278"/>
    </row>
    <row r="170" spans="2:14" ht="15.75" hidden="1" customHeight="1" x14ac:dyDescent="0.25">
      <c r="B170" s="217" t="s">
        <v>144</v>
      </c>
      <c r="C170" s="220"/>
      <c r="D170" s="222"/>
      <c r="E170" s="220"/>
      <c r="F170" s="220"/>
      <c r="G170" s="220"/>
      <c r="H170" s="222"/>
      <c r="I170" s="222"/>
      <c r="J170" s="222"/>
      <c r="K170" s="222"/>
      <c r="L170" s="222"/>
      <c r="M170" s="222"/>
      <c r="N170" s="222"/>
    </row>
    <row r="171" spans="2:14" ht="15.75" hidden="1" customHeight="1" x14ac:dyDescent="0.25">
      <c r="B171" s="183"/>
      <c r="C171" s="232" t="s">
        <v>71</v>
      </c>
      <c r="E171" s="330" t="s">
        <v>71</v>
      </c>
      <c r="F171" s="330" t="s">
        <v>89</v>
      </c>
      <c r="G171" s="330" t="s">
        <v>89</v>
      </c>
      <c r="H171" s="330" t="s">
        <v>89</v>
      </c>
      <c r="I171" s="330" t="s">
        <v>89</v>
      </c>
      <c r="J171" s="242"/>
      <c r="K171" s="242" t="s">
        <v>89</v>
      </c>
      <c r="L171" s="242" t="s">
        <v>89</v>
      </c>
      <c r="M171" t="s">
        <v>89</v>
      </c>
    </row>
    <row r="172" spans="2:14" ht="15.75" hidden="1" customHeight="1" x14ac:dyDescent="0.25">
      <c r="B172" s="183"/>
      <c r="C172" s="195" t="s">
        <v>145</v>
      </c>
      <c r="E172" s="331" t="s">
        <v>146</v>
      </c>
      <c r="F172" s="331" t="s">
        <v>71</v>
      </c>
      <c r="G172" s="331" t="s">
        <v>78</v>
      </c>
      <c r="H172" s="331" t="s">
        <v>326</v>
      </c>
      <c r="I172" s="331" t="s">
        <v>78</v>
      </c>
      <c r="J172" s="194" t="s">
        <v>89</v>
      </c>
      <c r="K172" s="194" t="s">
        <v>401</v>
      </c>
      <c r="L172" s="194" t="s">
        <v>381</v>
      </c>
      <c r="M172" s="194" t="s">
        <v>401</v>
      </c>
    </row>
    <row r="173" spans="2:14" ht="15.75" hidden="1" customHeight="1" x14ac:dyDescent="0.25">
      <c r="B173" s="183"/>
      <c r="C173" s="195" t="s">
        <v>105</v>
      </c>
      <c r="E173" s="331" t="s">
        <v>148</v>
      </c>
      <c r="F173" s="331" t="s">
        <v>301</v>
      </c>
      <c r="G173" s="331" t="s">
        <v>320</v>
      </c>
      <c r="H173" s="331" t="s">
        <v>70</v>
      </c>
      <c r="I173" s="331" t="s">
        <v>351</v>
      </c>
      <c r="J173" s="194" t="s">
        <v>378</v>
      </c>
      <c r="K173" s="194" t="s">
        <v>387</v>
      </c>
      <c r="L173" s="194" t="s">
        <v>420</v>
      </c>
      <c r="M173" s="194" t="s">
        <v>447</v>
      </c>
    </row>
    <row r="174" spans="2:14" ht="15.75" hidden="1" customHeight="1" x14ac:dyDescent="0.25">
      <c r="B174" s="183"/>
      <c r="E174" s="331" t="s">
        <v>83</v>
      </c>
      <c r="F174" s="331" t="s">
        <v>67</v>
      </c>
      <c r="G174" s="331" t="s">
        <v>71</v>
      </c>
      <c r="H174" s="331" t="s">
        <v>327</v>
      </c>
      <c r="I174" s="331" t="s">
        <v>352</v>
      </c>
      <c r="J174" s="194" t="s">
        <v>379</v>
      </c>
      <c r="K174" s="194" t="s">
        <v>167</v>
      </c>
      <c r="L174" s="194" t="s">
        <v>71</v>
      </c>
      <c r="M174" s="194" t="s">
        <v>254</v>
      </c>
    </row>
    <row r="175" spans="2:14" ht="15.75" hidden="1" customHeight="1" x14ac:dyDescent="0.25">
      <c r="B175" s="183"/>
      <c r="E175" s="331" t="s">
        <v>150</v>
      </c>
      <c r="F175" s="331" t="s">
        <v>300</v>
      </c>
      <c r="G175" s="331" t="s">
        <v>211</v>
      </c>
      <c r="H175" s="331" t="s">
        <v>328</v>
      </c>
      <c r="I175" s="331" t="s">
        <v>83</v>
      </c>
      <c r="J175" s="194" t="s">
        <v>172</v>
      </c>
      <c r="K175" s="194" t="s">
        <v>402</v>
      </c>
      <c r="L175" s="194" t="s">
        <v>421</v>
      </c>
      <c r="M175" s="194" t="s">
        <v>448</v>
      </c>
    </row>
    <row r="176" spans="2:14" ht="15.75" hidden="1" customHeight="1" x14ac:dyDescent="0.25">
      <c r="B176" s="183"/>
      <c r="E176" s="331" t="s">
        <v>151</v>
      </c>
      <c r="F176" s="331" t="s">
        <v>120</v>
      </c>
      <c r="G176" s="331" t="s">
        <v>167</v>
      </c>
      <c r="H176" s="331" t="s">
        <v>329</v>
      </c>
      <c r="I176" s="331" t="s">
        <v>353</v>
      </c>
      <c r="J176" s="194" t="s">
        <v>380</v>
      </c>
      <c r="K176" s="194" t="s">
        <v>403</v>
      </c>
      <c r="L176" s="194" t="s">
        <v>422</v>
      </c>
      <c r="M176" s="194" t="s">
        <v>70</v>
      </c>
    </row>
    <row r="177" spans="2:16" ht="15.75" hidden="1" customHeight="1" x14ac:dyDescent="0.25">
      <c r="B177" s="183"/>
      <c r="E177" s="331" t="s">
        <v>89</v>
      </c>
      <c r="F177" s="331" t="s">
        <v>70</v>
      </c>
      <c r="G177" s="331" t="s">
        <v>81</v>
      </c>
      <c r="H177" s="331" t="s">
        <v>330</v>
      </c>
      <c r="I177" s="331" t="s">
        <v>354</v>
      </c>
      <c r="J177" s="194" t="s">
        <v>381</v>
      </c>
      <c r="K177" s="194" t="s">
        <v>404</v>
      </c>
      <c r="L177" s="194" t="s">
        <v>320</v>
      </c>
      <c r="M177" s="194" t="s">
        <v>449</v>
      </c>
    </row>
    <row r="178" spans="2:16" ht="15.75" hidden="1" customHeight="1" x14ac:dyDescent="0.25">
      <c r="B178" s="183"/>
      <c r="E178" s="331" t="s">
        <v>70</v>
      </c>
      <c r="F178" s="331" t="s">
        <v>302</v>
      </c>
      <c r="G178" s="331" t="s">
        <v>321</v>
      </c>
      <c r="H178" s="331" t="s">
        <v>172</v>
      </c>
      <c r="I178" s="331" t="s">
        <v>355</v>
      </c>
      <c r="J178" s="194" t="s">
        <v>114</v>
      </c>
      <c r="K178" s="194" t="s">
        <v>379</v>
      </c>
      <c r="L178" s="194" t="s">
        <v>145</v>
      </c>
      <c r="M178" s="194" t="s">
        <v>172</v>
      </c>
    </row>
    <row r="179" spans="2:16" ht="15.75" hidden="1" customHeight="1" x14ac:dyDescent="0.25">
      <c r="B179" s="183"/>
      <c r="E179" s="331" t="s">
        <v>154</v>
      </c>
      <c r="F179" s="331" t="s">
        <v>181</v>
      </c>
      <c r="G179" s="331" t="s">
        <v>70</v>
      </c>
      <c r="H179" s="331" t="s">
        <v>129</v>
      </c>
      <c r="I179" s="331" t="s">
        <v>356</v>
      </c>
      <c r="J179" s="194" t="s">
        <v>382</v>
      </c>
      <c r="K179" s="194" t="s">
        <v>405</v>
      </c>
      <c r="L179" s="194" t="s">
        <v>423</v>
      </c>
      <c r="M179" s="194" t="s">
        <v>450</v>
      </c>
    </row>
    <row r="180" spans="2:16" hidden="1" x14ac:dyDescent="0.25">
      <c r="E180" s="331" t="s">
        <v>67</v>
      </c>
      <c r="F180" s="331" t="s">
        <v>303</v>
      </c>
      <c r="G180" s="331" t="s">
        <v>322</v>
      </c>
      <c r="H180" s="331" t="s">
        <v>331</v>
      </c>
      <c r="I180" s="331" t="s">
        <v>220</v>
      </c>
      <c r="J180" s="194" t="s">
        <v>383</v>
      </c>
      <c r="K180" s="194" t="s">
        <v>172</v>
      </c>
      <c r="L180" s="194" t="s">
        <v>92</v>
      </c>
      <c r="M180" s="194" t="s">
        <v>451</v>
      </c>
    </row>
    <row r="181" spans="2:16" hidden="1" x14ac:dyDescent="0.25">
      <c r="E181" s="332"/>
      <c r="F181" s="332"/>
      <c r="G181" s="332"/>
      <c r="H181" s="332"/>
      <c r="I181" s="332"/>
      <c r="J181" s="194" t="s">
        <v>384</v>
      </c>
      <c r="K181" s="194" t="s">
        <v>406</v>
      </c>
      <c r="L181" s="194"/>
      <c r="M181" s="194" t="s">
        <v>421</v>
      </c>
    </row>
    <row r="182" spans="2:16" hidden="1" x14ac:dyDescent="0.25">
      <c r="E182" s="332"/>
      <c r="F182" s="332"/>
      <c r="G182" s="332"/>
      <c r="H182" s="332"/>
      <c r="I182" s="332"/>
      <c r="J182" s="194"/>
      <c r="K182" s="194"/>
      <c r="L182" s="194"/>
      <c r="M182" s="194"/>
    </row>
    <row r="183" spans="2:16" ht="18.75" hidden="1" x14ac:dyDescent="0.3">
      <c r="E183" s="332"/>
      <c r="F183" s="332"/>
      <c r="G183" s="332"/>
      <c r="H183" s="332"/>
      <c r="I183" s="332"/>
      <c r="J183" s="194"/>
      <c r="K183" s="194"/>
      <c r="L183" s="194"/>
      <c r="M183" s="391" t="s">
        <v>464</v>
      </c>
    </row>
    <row r="184" spans="2:16" hidden="1" x14ac:dyDescent="0.25">
      <c r="E184" s="332"/>
      <c r="F184" s="332"/>
      <c r="G184" s="332"/>
      <c r="H184" s="332"/>
      <c r="I184" s="332"/>
      <c r="J184" s="194"/>
      <c r="K184" s="194"/>
      <c r="L184" s="194"/>
      <c r="M184" s="389">
        <f>SUM(N190+N197+N204+N211+N218+N224+N230+N236+N248+N254+N260+N273)</f>
        <v>536.58242897696061</v>
      </c>
    </row>
    <row r="185" spans="2:16" ht="15.75" hidden="1" x14ac:dyDescent="0.25">
      <c r="B185" s="290" t="s">
        <v>263</v>
      </c>
      <c r="C185" s="290" t="s">
        <v>264</v>
      </c>
      <c r="D185" s="295" t="s">
        <v>265</v>
      </c>
      <c r="E185" s="295" t="s">
        <v>266</v>
      </c>
      <c r="F185" s="295" t="s">
        <v>265</v>
      </c>
      <c r="G185" s="295" t="s">
        <v>267</v>
      </c>
      <c r="H185" s="295" t="s">
        <v>268</v>
      </c>
      <c r="I185" s="295" t="s">
        <v>269</v>
      </c>
      <c r="J185" s="295" t="s">
        <v>270</v>
      </c>
      <c r="K185" s="386" t="s">
        <v>462</v>
      </c>
      <c r="L185" s="386" t="s">
        <v>458</v>
      </c>
      <c r="M185" s="386"/>
      <c r="N185" s="386" t="s">
        <v>459</v>
      </c>
      <c r="O185" s="386" t="s">
        <v>460</v>
      </c>
      <c r="P185" s="386" t="s">
        <v>461</v>
      </c>
    </row>
    <row r="186" spans="2:16" hidden="1" x14ac:dyDescent="0.25">
      <c r="B186" s="291"/>
      <c r="C186" s="278" t="s">
        <v>288</v>
      </c>
      <c r="D186" s="278">
        <v>18</v>
      </c>
      <c r="E186" s="292">
        <v>5106.1499999999996</v>
      </c>
      <c r="F186" s="278">
        <v>75</v>
      </c>
      <c r="G186" s="292">
        <v>8610.58</v>
      </c>
      <c r="H186" s="320">
        <f>D186+F186</f>
        <v>93</v>
      </c>
      <c r="I186" s="292">
        <f>E186+G186</f>
        <v>13716.73</v>
      </c>
      <c r="J186" s="294">
        <f>G186/I186</f>
        <v>0.62774290957101297</v>
      </c>
      <c r="K186" s="387">
        <f>(G186*0.005)*J186</f>
        <v>27.026152711469866</v>
      </c>
      <c r="L186" s="388">
        <v>0.15</v>
      </c>
      <c r="M186" s="387"/>
      <c r="N186" s="288">
        <f>K186-M186</f>
        <v>27.026152711469866</v>
      </c>
      <c r="O186" s="264"/>
    </row>
    <row r="187" spans="2:16" hidden="1" x14ac:dyDescent="0.25">
      <c r="B187" s="295"/>
      <c r="C187" s="278" t="s">
        <v>289</v>
      </c>
      <c r="D187" s="278">
        <v>17</v>
      </c>
      <c r="E187" s="292">
        <v>2238.33</v>
      </c>
      <c r="F187" s="278">
        <v>37</v>
      </c>
      <c r="G187" s="292">
        <v>5399.09</v>
      </c>
      <c r="H187" s="30">
        <f>D187+F187</f>
        <v>54</v>
      </c>
      <c r="I187" s="292">
        <f>E187+G187</f>
        <v>7637.42</v>
      </c>
      <c r="J187" s="294">
        <f>G187/I187</f>
        <v>0.7069258990601538</v>
      </c>
      <c r="K187" s="387">
        <f>(G187*0.005)*J187</f>
        <v>19.083782761783429</v>
      </c>
      <c r="L187" s="388">
        <v>0.15</v>
      </c>
      <c r="M187" s="387"/>
      <c r="N187" s="288">
        <f t="shared" ref="N187" si="37">K187-M187</f>
        <v>19.083782761783429</v>
      </c>
    </row>
    <row r="188" spans="2:16" hidden="1" x14ac:dyDescent="0.25">
      <c r="B188" s="295" t="s">
        <v>271</v>
      </c>
      <c r="C188" s="278"/>
      <c r="D188" s="278"/>
      <c r="E188" s="292"/>
      <c r="F188" s="278"/>
      <c r="G188" s="292"/>
      <c r="H188" s="278"/>
      <c r="I188" s="292"/>
      <c r="J188" s="294"/>
      <c r="K188" s="288"/>
    </row>
    <row r="189" spans="2:16" hidden="1" x14ac:dyDescent="0.25">
      <c r="B189" s="295"/>
      <c r="C189" s="278"/>
      <c r="D189" s="278"/>
      <c r="E189" s="292"/>
      <c r="F189" s="278"/>
      <c r="G189" s="292"/>
      <c r="H189" s="278"/>
      <c r="I189" s="292"/>
      <c r="J189" s="294"/>
    </row>
    <row r="190" spans="2:16" hidden="1" x14ac:dyDescent="0.25">
      <c r="B190" s="295"/>
      <c r="C190" s="278"/>
      <c r="D190" s="278"/>
      <c r="E190" s="292"/>
      <c r="F190" s="278"/>
      <c r="G190" s="292"/>
      <c r="H190" s="278"/>
      <c r="I190" s="292"/>
      <c r="J190" s="294"/>
      <c r="M190" s="290" t="s">
        <v>463</v>
      </c>
      <c r="N190" s="288">
        <f>SUM(N186:N189)</f>
        <v>46.109935473253294</v>
      </c>
    </row>
    <row r="191" spans="2:16" ht="15.75" hidden="1" x14ac:dyDescent="0.25">
      <c r="B191" s="278"/>
      <c r="C191" s="290" t="s">
        <v>264</v>
      </c>
      <c r="D191" s="295" t="s">
        <v>265</v>
      </c>
      <c r="E191" s="295" t="s">
        <v>266</v>
      </c>
      <c r="F191" s="295" t="s">
        <v>265</v>
      </c>
      <c r="G191" s="295" t="s">
        <v>267</v>
      </c>
      <c r="H191" s="295" t="s">
        <v>268</v>
      </c>
      <c r="I191" s="295" t="s">
        <v>269</v>
      </c>
      <c r="J191" s="295" t="s">
        <v>270</v>
      </c>
      <c r="K191" s="386" t="s">
        <v>462</v>
      </c>
      <c r="L191" s="386" t="s">
        <v>458</v>
      </c>
      <c r="M191" s="386"/>
      <c r="N191" s="386" t="s">
        <v>459</v>
      </c>
      <c r="O191" s="386" t="s">
        <v>460</v>
      </c>
      <c r="P191" s="386" t="s">
        <v>461</v>
      </c>
    </row>
    <row r="192" spans="2:16" hidden="1" x14ac:dyDescent="0.25">
      <c r="B192" s="293"/>
      <c r="C192" s="278" t="s">
        <v>288</v>
      </c>
      <c r="D192" s="278">
        <v>27</v>
      </c>
      <c r="E192" s="292">
        <v>6274.37</v>
      </c>
      <c r="F192" s="278">
        <v>75</v>
      </c>
      <c r="G192" s="292">
        <v>9610.2900000000009</v>
      </c>
      <c r="H192" s="296">
        <f>D192+F192</f>
        <v>102</v>
      </c>
      <c r="I192" s="292">
        <f>E192+G192</f>
        <v>15884.66</v>
      </c>
      <c r="J192" s="294">
        <f>G192/I192</f>
        <v>0.60500445083495658</v>
      </c>
      <c r="K192" s="387">
        <f>(G192*0.005)*J192</f>
        <v>29.071341119073377</v>
      </c>
      <c r="L192" s="388">
        <v>0.15</v>
      </c>
      <c r="M192" s="387"/>
      <c r="N192" s="288">
        <f>K192-M192</f>
        <v>29.071341119073377</v>
      </c>
      <c r="O192" s="264"/>
    </row>
    <row r="193" spans="2:16" hidden="1" x14ac:dyDescent="0.25">
      <c r="B193" s="295"/>
      <c r="C193" s="278" t="s">
        <v>289</v>
      </c>
      <c r="D193" s="278">
        <v>8</v>
      </c>
      <c r="E193" s="292">
        <v>1151.52</v>
      </c>
      <c r="F193" s="278">
        <v>34</v>
      </c>
      <c r="G193" s="292">
        <v>4012.87</v>
      </c>
      <c r="H193" s="278">
        <f>D193+F193</f>
        <v>42</v>
      </c>
      <c r="I193" s="292">
        <f>E193+G193</f>
        <v>5164.3899999999994</v>
      </c>
      <c r="J193" s="294">
        <f>G193/I193</f>
        <v>0.77702690927679752</v>
      </c>
      <c r="K193" s="387">
        <f>(G193*0.005)*J193</f>
        <v>15.590539867147912</v>
      </c>
      <c r="L193" s="388">
        <v>0.15</v>
      </c>
      <c r="M193" s="387"/>
      <c r="N193" s="288">
        <f t="shared" ref="N193" si="38">K193-M193</f>
        <v>15.590539867147912</v>
      </c>
    </row>
    <row r="194" spans="2:16" hidden="1" x14ac:dyDescent="0.25">
      <c r="B194" s="295" t="s">
        <v>272</v>
      </c>
      <c r="C194" s="278"/>
      <c r="D194" s="278"/>
      <c r="E194" s="288"/>
      <c r="F194" s="278"/>
      <c r="G194" s="288"/>
      <c r="H194" s="278"/>
      <c r="I194" s="292"/>
      <c r="J194" s="289"/>
    </row>
    <row r="195" spans="2:16" hidden="1" x14ac:dyDescent="0.25">
      <c r="B195" s="295"/>
      <c r="C195" s="278"/>
      <c r="D195" s="278"/>
      <c r="E195" s="288"/>
      <c r="F195" s="278"/>
      <c r="G195" s="288"/>
      <c r="H195" s="278"/>
      <c r="I195" s="292"/>
      <c r="J195" s="289"/>
    </row>
    <row r="196" spans="2:16" hidden="1" x14ac:dyDescent="0.25">
      <c r="B196" s="295"/>
      <c r="C196" s="278"/>
      <c r="D196" s="278"/>
      <c r="E196" s="288"/>
      <c r="F196" s="278"/>
      <c r="G196" s="288"/>
      <c r="H196" s="278"/>
      <c r="I196" s="292"/>
      <c r="J196" s="289"/>
    </row>
    <row r="197" spans="2:16" hidden="1" x14ac:dyDescent="0.25">
      <c r="B197" s="295"/>
      <c r="C197" s="278"/>
      <c r="D197" s="278"/>
      <c r="E197" s="288"/>
      <c r="F197" s="278"/>
      <c r="G197" s="288"/>
      <c r="H197" s="278"/>
      <c r="I197" s="292"/>
      <c r="J197" s="289"/>
      <c r="M197" s="290" t="s">
        <v>463</v>
      </c>
      <c r="N197" s="288">
        <f>SUM(N192:N196)</f>
        <v>44.661880986221291</v>
      </c>
    </row>
    <row r="198" spans="2:16" ht="15.75" hidden="1" x14ac:dyDescent="0.25">
      <c r="C198" s="290" t="s">
        <v>264</v>
      </c>
      <c r="D198" s="295" t="s">
        <v>265</v>
      </c>
      <c r="E198" s="295" t="s">
        <v>266</v>
      </c>
      <c r="F198" s="295" t="s">
        <v>265</v>
      </c>
      <c r="G198" s="295" t="s">
        <v>267</v>
      </c>
      <c r="H198" s="295" t="s">
        <v>268</v>
      </c>
      <c r="I198" s="295" t="s">
        <v>269</v>
      </c>
      <c r="J198" s="295" t="s">
        <v>270</v>
      </c>
      <c r="K198" s="386" t="s">
        <v>462</v>
      </c>
      <c r="L198" s="386" t="s">
        <v>458</v>
      </c>
      <c r="M198" s="386"/>
      <c r="N198" s="386" t="s">
        <v>459</v>
      </c>
      <c r="O198" s="386" t="s">
        <v>460</v>
      </c>
      <c r="P198" s="386" t="s">
        <v>461</v>
      </c>
    </row>
    <row r="199" spans="2:16" hidden="1" x14ac:dyDescent="0.25">
      <c r="B199" s="295"/>
      <c r="C199" s="278" t="s">
        <v>288</v>
      </c>
      <c r="D199" s="278">
        <v>36</v>
      </c>
      <c r="E199" s="292">
        <v>10648.37</v>
      </c>
      <c r="F199" s="278">
        <v>63</v>
      </c>
      <c r="G199" s="292">
        <v>5723.76</v>
      </c>
      <c r="H199" s="296">
        <f>D199+F199</f>
        <v>99</v>
      </c>
      <c r="I199" s="292">
        <f>E199+G199</f>
        <v>16372.130000000001</v>
      </c>
      <c r="J199" s="294">
        <f>G199/I199</f>
        <v>0.34960386950262429</v>
      </c>
      <c r="K199" s="387">
        <f>(G199*0.005)*J199</f>
        <v>10.005243220521704</v>
      </c>
      <c r="L199" s="388">
        <v>0.15</v>
      </c>
      <c r="M199" s="387"/>
      <c r="N199" s="288">
        <f>K199-M199</f>
        <v>10.005243220521704</v>
      </c>
      <c r="O199" s="264"/>
    </row>
    <row r="200" spans="2:16" hidden="1" x14ac:dyDescent="0.25">
      <c r="B200" s="295"/>
      <c r="C200" s="278" t="s">
        <v>289</v>
      </c>
      <c r="D200" s="278">
        <v>26</v>
      </c>
      <c r="E200" s="292">
        <v>6739.47</v>
      </c>
      <c r="F200" s="278">
        <v>37</v>
      </c>
      <c r="G200" s="292">
        <v>4796.6499999999996</v>
      </c>
      <c r="H200" s="278">
        <f>D200+F200</f>
        <v>63</v>
      </c>
      <c r="I200" s="292">
        <f>E200+G200</f>
        <v>11536.119999999999</v>
      </c>
      <c r="J200" s="294">
        <f>G200/I200</f>
        <v>0.41579404513822671</v>
      </c>
      <c r="K200" s="387">
        <f>(G200*0.005)*J200</f>
        <v>9.9720925330613746</v>
      </c>
      <c r="L200" s="388">
        <v>0.15</v>
      </c>
      <c r="M200" s="387"/>
      <c r="N200" s="288">
        <f t="shared" ref="N200" si="39">K200-M200</f>
        <v>9.9720925330613746</v>
      </c>
    </row>
    <row r="201" spans="2:16" hidden="1" x14ac:dyDescent="0.25">
      <c r="B201" s="295" t="s">
        <v>273</v>
      </c>
      <c r="C201" s="278"/>
      <c r="D201" s="278"/>
      <c r="E201" s="288"/>
      <c r="F201" s="278"/>
      <c r="G201" s="288"/>
      <c r="H201" s="278"/>
      <c r="I201" s="292"/>
      <c r="J201" s="294"/>
    </row>
    <row r="202" spans="2:16" hidden="1" x14ac:dyDescent="0.25">
      <c r="B202" s="295"/>
      <c r="C202" s="278"/>
      <c r="D202" s="278"/>
      <c r="E202" s="304">
        <f>E199+E200</f>
        <v>17387.84</v>
      </c>
      <c r="F202" s="278"/>
      <c r="G202" s="315">
        <f>G199+G200</f>
        <v>10520.41</v>
      </c>
      <c r="H202" s="278"/>
      <c r="I202" s="292"/>
      <c r="J202" s="294"/>
    </row>
    <row r="203" spans="2:16" hidden="1" x14ac:dyDescent="0.25">
      <c r="B203" s="295"/>
      <c r="C203" s="278"/>
      <c r="D203" s="278"/>
      <c r="E203" s="292"/>
      <c r="F203" s="278"/>
      <c r="G203" s="292"/>
      <c r="H203" s="278"/>
      <c r="I203" s="292"/>
      <c r="J203" s="294"/>
    </row>
    <row r="204" spans="2:16" hidden="1" x14ac:dyDescent="0.25">
      <c r="B204" s="295"/>
      <c r="C204" s="278"/>
      <c r="D204" s="278"/>
      <c r="E204" s="292"/>
      <c r="F204" s="278"/>
      <c r="G204" s="292"/>
      <c r="H204" s="278"/>
      <c r="I204" s="292"/>
      <c r="J204" s="294"/>
      <c r="M204" s="290" t="s">
        <v>463</v>
      </c>
      <c r="N204" s="288">
        <f>SUM(N199:N203)</f>
        <v>19.977335753583077</v>
      </c>
    </row>
    <row r="205" spans="2:16" ht="15.75" hidden="1" x14ac:dyDescent="0.25">
      <c r="B205" s="278"/>
      <c r="C205" s="290" t="s">
        <v>264</v>
      </c>
      <c r="D205" s="295" t="s">
        <v>265</v>
      </c>
      <c r="E205" s="295" t="s">
        <v>266</v>
      </c>
      <c r="F205" s="295" t="s">
        <v>265</v>
      </c>
      <c r="G205" s="295" t="s">
        <v>267</v>
      </c>
      <c r="H205" s="295" t="s">
        <v>268</v>
      </c>
      <c r="I205" s="295" t="s">
        <v>269</v>
      </c>
      <c r="J205" s="295" t="s">
        <v>270</v>
      </c>
      <c r="K205" s="386" t="s">
        <v>462</v>
      </c>
      <c r="L205" s="386" t="s">
        <v>458</v>
      </c>
      <c r="M205" s="386"/>
      <c r="N205" s="386" t="s">
        <v>459</v>
      </c>
      <c r="O205" s="386" t="s">
        <v>460</v>
      </c>
      <c r="P205" s="386" t="s">
        <v>461</v>
      </c>
    </row>
    <row r="206" spans="2:16" hidden="1" x14ac:dyDescent="0.25">
      <c r="B206" s="293"/>
      <c r="C206" s="278" t="s">
        <v>288</v>
      </c>
      <c r="D206" s="278">
        <v>28</v>
      </c>
      <c r="E206" s="292">
        <v>7701.61</v>
      </c>
      <c r="F206" s="278">
        <v>60</v>
      </c>
      <c r="G206" s="292">
        <v>8657.2000000000007</v>
      </c>
      <c r="H206" s="296">
        <f>D206+F206</f>
        <v>88</v>
      </c>
      <c r="I206" s="292">
        <f>E206+G206</f>
        <v>16358.810000000001</v>
      </c>
      <c r="J206" s="294">
        <f>G206/I206</f>
        <v>0.52920719783407233</v>
      </c>
      <c r="K206" s="387">
        <f>(G206*0.005)*J206</f>
        <v>22.907262765445655</v>
      </c>
      <c r="L206" s="388">
        <v>0.15</v>
      </c>
      <c r="M206" s="387"/>
      <c r="N206" s="288">
        <f>K206-M206</f>
        <v>22.907262765445655</v>
      </c>
      <c r="O206" s="264"/>
    </row>
    <row r="207" spans="2:16" hidden="1" x14ac:dyDescent="0.25">
      <c r="B207" s="295"/>
      <c r="C207" s="278" t="s">
        <v>289</v>
      </c>
      <c r="D207" s="278">
        <v>23</v>
      </c>
      <c r="E207" s="292">
        <v>6874.66</v>
      </c>
      <c r="F207" s="278">
        <v>64</v>
      </c>
      <c r="G207" s="292">
        <v>7707.19</v>
      </c>
      <c r="H207" s="278">
        <f>D207+F207</f>
        <v>87</v>
      </c>
      <c r="I207" s="292">
        <f>E207+G207</f>
        <v>14581.849999999999</v>
      </c>
      <c r="J207" s="294">
        <f>G207/I207</f>
        <v>0.52854678933057198</v>
      </c>
      <c r="K207" s="387">
        <f>(G207*0.005)*J207</f>
        <v>20.368052646303454</v>
      </c>
      <c r="L207" s="388">
        <v>0.15</v>
      </c>
      <c r="M207" s="387"/>
      <c r="N207" s="288">
        <f t="shared" ref="N207" si="40">K207-M207</f>
        <v>20.368052646303454</v>
      </c>
    </row>
    <row r="208" spans="2:16" hidden="1" x14ac:dyDescent="0.25">
      <c r="B208" s="295" t="s">
        <v>274</v>
      </c>
      <c r="C208" s="278"/>
      <c r="D208" s="278"/>
      <c r="E208" s="292"/>
      <c r="F208" s="278"/>
      <c r="G208" s="292"/>
      <c r="H208" s="278"/>
      <c r="I208" s="292"/>
      <c r="J208" s="294"/>
    </row>
    <row r="209" spans="2:16" hidden="1" x14ac:dyDescent="0.25">
      <c r="B209" s="295"/>
      <c r="C209" s="278"/>
      <c r="D209" s="278"/>
      <c r="E209" s="292"/>
      <c r="F209" s="278"/>
      <c r="G209" s="292"/>
      <c r="H209" s="278"/>
      <c r="I209" s="292"/>
      <c r="J209" s="294"/>
    </row>
    <row r="210" spans="2:16" hidden="1" x14ac:dyDescent="0.25">
      <c r="B210" s="295"/>
      <c r="C210" s="278"/>
      <c r="D210" s="278"/>
      <c r="E210" s="304">
        <f>E206+E207</f>
        <v>14576.27</v>
      </c>
      <c r="F210" s="278"/>
      <c r="G210" s="315">
        <f>G206+G207</f>
        <v>16364.39</v>
      </c>
      <c r="H210" s="278"/>
      <c r="I210" s="292"/>
      <c r="J210" s="294"/>
    </row>
    <row r="211" spans="2:16" hidden="1" x14ac:dyDescent="0.25">
      <c r="B211" s="295"/>
      <c r="C211" s="278"/>
      <c r="D211" s="278"/>
      <c r="E211" s="292"/>
      <c r="F211" s="278"/>
      <c r="G211" s="292"/>
      <c r="H211" s="278"/>
      <c r="I211" s="292"/>
      <c r="J211" s="294"/>
      <c r="M211" s="290" t="s">
        <v>463</v>
      </c>
      <c r="N211" s="288">
        <f>SUM(N206:N210)</f>
        <v>43.275315411749105</v>
      </c>
    </row>
    <row r="212" spans="2:16" ht="15.75" hidden="1" x14ac:dyDescent="0.25">
      <c r="C212" s="313" t="s">
        <v>264</v>
      </c>
      <c r="D212" s="314" t="s">
        <v>265</v>
      </c>
      <c r="E212" s="314" t="s">
        <v>266</v>
      </c>
      <c r="F212" s="314" t="s">
        <v>265</v>
      </c>
      <c r="G212" s="314" t="s">
        <v>267</v>
      </c>
      <c r="H212" s="314" t="s">
        <v>268</v>
      </c>
      <c r="I212" s="314" t="s">
        <v>269</v>
      </c>
      <c r="J212" s="314" t="s">
        <v>270</v>
      </c>
      <c r="K212" s="386" t="s">
        <v>462</v>
      </c>
      <c r="L212" s="386" t="s">
        <v>458</v>
      </c>
      <c r="M212" s="386"/>
      <c r="N212" s="386" t="s">
        <v>459</v>
      </c>
      <c r="O212" s="386" t="s">
        <v>460</v>
      </c>
      <c r="P212" s="386" t="s">
        <v>461</v>
      </c>
    </row>
    <row r="213" spans="2:16" hidden="1" x14ac:dyDescent="0.25">
      <c r="B213" s="295"/>
      <c r="C213" s="278" t="s">
        <v>288</v>
      </c>
      <c r="D213" s="278">
        <v>40</v>
      </c>
      <c r="E213" s="292">
        <v>11995.22</v>
      </c>
      <c r="F213" s="278">
        <v>77</v>
      </c>
      <c r="G213" s="292">
        <v>11865.08</v>
      </c>
      <c r="H213" s="296">
        <f>D213+F213</f>
        <v>117</v>
      </c>
      <c r="I213" s="292">
        <f>E213+G213</f>
        <v>23860.3</v>
      </c>
      <c r="J213" s="294">
        <f>G213/I213</f>
        <v>0.49727287586493046</v>
      </c>
      <c r="K213" s="387">
        <f>(G213*0.005)*J213</f>
        <v>29.500912269837347</v>
      </c>
      <c r="L213" s="388">
        <v>0.15</v>
      </c>
      <c r="M213" s="387"/>
      <c r="N213" s="288">
        <f>K213-M213</f>
        <v>29.500912269837347</v>
      </c>
      <c r="O213" s="264"/>
    </row>
    <row r="214" spans="2:16" hidden="1" x14ac:dyDescent="0.25">
      <c r="B214" s="295"/>
      <c r="C214" s="278" t="s">
        <v>289</v>
      </c>
      <c r="D214" s="278">
        <v>26</v>
      </c>
      <c r="E214" s="292">
        <v>4655.1000000000004</v>
      </c>
      <c r="F214" s="278">
        <v>66</v>
      </c>
      <c r="G214" s="292">
        <v>5858.18</v>
      </c>
      <c r="H214" s="278">
        <f>D214+F214</f>
        <v>92</v>
      </c>
      <c r="I214" s="292">
        <f>E214+G214</f>
        <v>10513.28</v>
      </c>
      <c r="J214" s="294">
        <f>G214/I214</f>
        <v>0.55721715772813052</v>
      </c>
      <c r="K214" s="387">
        <f>(G214*0.005)*J214</f>
        <v>16.3213920452989</v>
      </c>
      <c r="L214" s="388">
        <v>0.15</v>
      </c>
      <c r="M214" s="387"/>
      <c r="N214" s="288">
        <f t="shared" ref="N214" si="41">K214-M214</f>
        <v>16.3213920452989</v>
      </c>
    </row>
    <row r="215" spans="2:16" hidden="1" x14ac:dyDescent="0.25">
      <c r="B215" s="295" t="s">
        <v>275</v>
      </c>
      <c r="C215" s="278"/>
      <c r="D215" s="278"/>
      <c r="E215" s="292"/>
      <c r="F215" s="278"/>
      <c r="G215" s="292"/>
      <c r="H215" s="278"/>
      <c r="I215" s="292"/>
      <c r="J215" s="294"/>
    </row>
    <row r="216" spans="2:16" hidden="1" x14ac:dyDescent="0.25">
      <c r="B216" s="295"/>
      <c r="C216" s="278"/>
      <c r="D216" s="278"/>
      <c r="E216" s="292"/>
      <c r="F216" s="278"/>
      <c r="G216" s="292"/>
      <c r="H216" s="278"/>
      <c r="I216" s="292"/>
      <c r="J216" s="294"/>
    </row>
    <row r="217" spans="2:16" hidden="1" x14ac:dyDescent="0.25">
      <c r="B217" s="295"/>
      <c r="C217" s="278"/>
      <c r="D217" s="278"/>
      <c r="E217" s="292"/>
      <c r="F217" s="278"/>
      <c r="G217" s="292"/>
      <c r="H217" s="278"/>
      <c r="I217" s="292"/>
      <c r="J217" s="294"/>
    </row>
    <row r="218" spans="2:16" hidden="1" x14ac:dyDescent="0.25">
      <c r="B218" s="295"/>
      <c r="C218" s="278"/>
      <c r="D218" s="278"/>
      <c r="E218" s="304">
        <f>SUM(E213:E214)</f>
        <v>16650.32</v>
      </c>
      <c r="F218" s="278"/>
      <c r="G218" s="304">
        <f>SUM(G213:G214)</f>
        <v>17723.260000000002</v>
      </c>
      <c r="H218" s="278"/>
      <c r="I218" s="292"/>
      <c r="J218" s="294"/>
      <c r="M218" s="290" t="s">
        <v>463</v>
      </c>
      <c r="N218" s="288">
        <f>SUM(N213:N217)</f>
        <v>45.82230431513625</v>
      </c>
    </row>
    <row r="219" spans="2:16" ht="15.75" hidden="1" x14ac:dyDescent="0.25">
      <c r="B219" s="278"/>
      <c r="C219" s="313" t="s">
        <v>264</v>
      </c>
      <c r="D219" s="314" t="s">
        <v>265</v>
      </c>
      <c r="E219" s="314" t="s">
        <v>266</v>
      </c>
      <c r="F219" s="314" t="s">
        <v>265</v>
      </c>
      <c r="G219" s="314" t="s">
        <v>267</v>
      </c>
      <c r="H219" s="314" t="s">
        <v>268</v>
      </c>
      <c r="I219" s="314" t="s">
        <v>269</v>
      </c>
      <c r="J219" s="314" t="s">
        <v>270</v>
      </c>
      <c r="K219" s="386" t="s">
        <v>462</v>
      </c>
      <c r="L219" s="386" t="s">
        <v>458</v>
      </c>
      <c r="M219" s="386"/>
      <c r="N219" s="386" t="s">
        <v>459</v>
      </c>
      <c r="O219" s="386" t="s">
        <v>460</v>
      </c>
      <c r="P219" s="386" t="s">
        <v>461</v>
      </c>
    </row>
    <row r="220" spans="2:16" hidden="1" x14ac:dyDescent="0.25">
      <c r="B220" s="293"/>
      <c r="C220" s="278" t="s">
        <v>342</v>
      </c>
      <c r="D220" s="278">
        <v>23</v>
      </c>
      <c r="E220" s="292">
        <v>6106.86</v>
      </c>
      <c r="F220" s="278">
        <v>64</v>
      </c>
      <c r="G220" s="292">
        <v>9873.01</v>
      </c>
      <c r="H220" s="296">
        <f>D220+F220</f>
        <v>87</v>
      </c>
      <c r="I220" s="292">
        <f>E220+G220</f>
        <v>15979.869999999999</v>
      </c>
      <c r="J220" s="294">
        <f>G220/I220</f>
        <v>0.61784044551050799</v>
      </c>
      <c r="K220" s="387">
        <f>(G220*0.005)*J220</f>
        <v>30.499724484648503</v>
      </c>
      <c r="L220" s="388">
        <v>0.15</v>
      </c>
      <c r="M220" s="387"/>
      <c r="N220" s="288">
        <f>K220-M220</f>
        <v>30.499724484648503</v>
      </c>
      <c r="O220" s="264"/>
    </row>
    <row r="221" spans="2:16" hidden="1" x14ac:dyDescent="0.25">
      <c r="B221" s="295"/>
      <c r="C221" s="278" t="s">
        <v>289</v>
      </c>
      <c r="D221" s="278">
        <v>13</v>
      </c>
      <c r="E221" s="292">
        <v>3882.3</v>
      </c>
      <c r="F221" s="278">
        <v>45</v>
      </c>
      <c r="G221" s="292">
        <v>7499.01</v>
      </c>
      <c r="H221" s="278">
        <f>D221+F221</f>
        <v>58</v>
      </c>
      <c r="I221" s="292">
        <f>E221+G221</f>
        <v>11381.310000000001</v>
      </c>
      <c r="J221" s="294">
        <f>G221/I221</f>
        <v>0.65888812447776213</v>
      </c>
      <c r="K221" s="387">
        <f>(G221*0.005)*J221</f>
        <v>24.705043171699913</v>
      </c>
      <c r="L221" s="388">
        <v>0.15</v>
      </c>
      <c r="M221" s="387"/>
      <c r="N221" s="288">
        <f t="shared" ref="N221" si="42">K221-M221</f>
        <v>24.705043171699913</v>
      </c>
    </row>
    <row r="222" spans="2:16" hidden="1" x14ac:dyDescent="0.25">
      <c r="B222" s="295"/>
      <c r="C222" s="278"/>
      <c r="D222" s="278"/>
      <c r="E222" s="292"/>
      <c r="F222" s="278"/>
      <c r="G222" s="292"/>
      <c r="H222" s="278"/>
      <c r="I222" s="292"/>
      <c r="J222" s="294"/>
    </row>
    <row r="223" spans="2:16" hidden="1" x14ac:dyDescent="0.25">
      <c r="B223" s="295" t="s">
        <v>276</v>
      </c>
      <c r="C223" s="278"/>
      <c r="D223" s="278"/>
      <c r="E223" s="292"/>
      <c r="F223" s="278"/>
      <c r="G223" s="292"/>
      <c r="H223" s="278"/>
      <c r="I223" s="292"/>
      <c r="J223" s="294"/>
    </row>
    <row r="224" spans="2:16" hidden="1" x14ac:dyDescent="0.25">
      <c r="B224" s="295"/>
      <c r="C224" s="278"/>
      <c r="D224" s="278"/>
      <c r="E224" s="304">
        <f>E220+E221</f>
        <v>9989.16</v>
      </c>
      <c r="F224" s="278"/>
      <c r="G224" s="304">
        <f>G220+G221</f>
        <v>17372.02</v>
      </c>
      <c r="H224" s="278"/>
      <c r="I224" s="292"/>
      <c r="J224" s="294"/>
      <c r="M224" s="290" t="s">
        <v>463</v>
      </c>
      <c r="N224" s="288">
        <f>SUM(N220:N223)</f>
        <v>55.204767656348416</v>
      </c>
    </row>
    <row r="225" spans="2:16" ht="15.75" hidden="1" x14ac:dyDescent="0.25">
      <c r="C225" s="313" t="s">
        <v>264</v>
      </c>
      <c r="D225" s="314" t="s">
        <v>265</v>
      </c>
      <c r="E225" s="314" t="s">
        <v>266</v>
      </c>
      <c r="F225" s="314" t="s">
        <v>265</v>
      </c>
      <c r="G225" s="314" t="s">
        <v>267</v>
      </c>
      <c r="H225" s="314" t="s">
        <v>268</v>
      </c>
      <c r="I225" s="314" t="s">
        <v>269</v>
      </c>
      <c r="J225" s="314" t="s">
        <v>270</v>
      </c>
      <c r="K225" s="386" t="s">
        <v>462</v>
      </c>
      <c r="L225" s="386" t="s">
        <v>458</v>
      </c>
      <c r="M225" s="386"/>
      <c r="N225" s="386" t="s">
        <v>459</v>
      </c>
      <c r="O225" s="386" t="s">
        <v>460</v>
      </c>
      <c r="P225" s="386" t="s">
        <v>461</v>
      </c>
    </row>
    <row r="226" spans="2:16" hidden="1" x14ac:dyDescent="0.25">
      <c r="B226" s="295"/>
      <c r="C226" s="278" t="s">
        <v>357</v>
      </c>
      <c r="D226" s="278">
        <v>17</v>
      </c>
      <c r="E226" s="292">
        <v>7206.58</v>
      </c>
      <c r="F226" s="278">
        <v>42</v>
      </c>
      <c r="G226" s="292">
        <v>4454.8</v>
      </c>
      <c r="H226" s="296">
        <f>D226+F226</f>
        <v>59</v>
      </c>
      <c r="I226" s="292">
        <f>E226+G226</f>
        <v>11661.380000000001</v>
      </c>
      <c r="J226" s="294">
        <f>G226/I226</f>
        <v>0.3820131065105502</v>
      </c>
      <c r="K226" s="387">
        <f>(G226*0.005)*J226</f>
        <v>8.5089599344159961</v>
      </c>
      <c r="L226" s="388">
        <v>0.15</v>
      </c>
      <c r="M226" s="387"/>
      <c r="N226" s="288">
        <f>K226-M226</f>
        <v>8.5089599344159961</v>
      </c>
      <c r="O226" s="264"/>
    </row>
    <row r="227" spans="2:16" hidden="1" x14ac:dyDescent="0.25">
      <c r="B227" s="295"/>
      <c r="C227" s="278" t="s">
        <v>289</v>
      </c>
      <c r="D227" s="278">
        <v>18</v>
      </c>
      <c r="E227" s="292">
        <v>4120.28</v>
      </c>
      <c r="F227" s="278">
        <v>70</v>
      </c>
      <c r="G227" s="292">
        <v>8608.76</v>
      </c>
      <c r="H227" s="278">
        <f>D227+F227</f>
        <v>88</v>
      </c>
      <c r="I227" s="292">
        <f>E227+G227</f>
        <v>12729.04</v>
      </c>
      <c r="J227" s="294">
        <f>G227/I227</f>
        <v>0.67630866114019594</v>
      </c>
      <c r="K227" s="387">
        <f>(G227*0.005)*J227</f>
        <v>29.110894748386368</v>
      </c>
      <c r="L227" s="388">
        <v>0.15</v>
      </c>
      <c r="M227" s="387"/>
      <c r="N227" s="288">
        <f t="shared" ref="N227" si="43">K227-M227</f>
        <v>29.110894748386368</v>
      </c>
    </row>
    <row r="228" spans="2:16" hidden="1" x14ac:dyDescent="0.25">
      <c r="B228" s="295" t="s">
        <v>277</v>
      </c>
      <c r="C228" s="278"/>
      <c r="D228" s="278"/>
      <c r="E228" s="292"/>
      <c r="F228" s="278"/>
      <c r="G228" s="292"/>
      <c r="H228" s="278"/>
      <c r="I228" s="292"/>
      <c r="J228" s="294"/>
    </row>
    <row r="229" spans="2:16" hidden="1" x14ac:dyDescent="0.25">
      <c r="B229" s="295"/>
      <c r="C229" s="278"/>
      <c r="D229" s="278"/>
      <c r="E229" s="292"/>
      <c r="F229" s="278"/>
      <c r="G229" s="292"/>
      <c r="H229" s="278"/>
      <c r="I229" s="292"/>
      <c r="J229" s="294"/>
    </row>
    <row r="230" spans="2:16" hidden="1" x14ac:dyDescent="0.25">
      <c r="B230" s="295"/>
      <c r="C230" s="278"/>
      <c r="D230" s="278"/>
      <c r="E230" s="304">
        <f>E226+E227</f>
        <v>11326.86</v>
      </c>
      <c r="F230" s="278"/>
      <c r="G230" s="304">
        <f>G226+G227</f>
        <v>13063.560000000001</v>
      </c>
      <c r="H230" s="278"/>
      <c r="I230" s="292"/>
      <c r="J230" s="294"/>
      <c r="M230" s="290" t="s">
        <v>463</v>
      </c>
      <c r="N230" s="288">
        <f>SUM(N226:N229)</f>
        <v>37.619854682802362</v>
      </c>
    </row>
    <row r="231" spans="2:16" ht="15.75" hidden="1" x14ac:dyDescent="0.25">
      <c r="B231" s="278"/>
      <c r="C231" s="313" t="s">
        <v>264</v>
      </c>
      <c r="D231" s="314" t="s">
        <v>265</v>
      </c>
      <c r="E231" s="314" t="s">
        <v>266</v>
      </c>
      <c r="F231" s="314" t="s">
        <v>265</v>
      </c>
      <c r="G231" s="314" t="s">
        <v>267</v>
      </c>
      <c r="H231" s="314" t="s">
        <v>268</v>
      </c>
      <c r="I231" s="314" t="s">
        <v>269</v>
      </c>
      <c r="J231" s="314" t="s">
        <v>270</v>
      </c>
      <c r="K231" s="386" t="s">
        <v>462</v>
      </c>
      <c r="L231" s="386" t="s">
        <v>458</v>
      </c>
      <c r="M231" s="386"/>
      <c r="N231" s="386" t="s">
        <v>459</v>
      </c>
      <c r="O231" s="386" t="s">
        <v>460</v>
      </c>
      <c r="P231" s="386" t="s">
        <v>461</v>
      </c>
    </row>
    <row r="232" spans="2:16" hidden="1" x14ac:dyDescent="0.25">
      <c r="B232" s="293"/>
      <c r="C232" s="278" t="s">
        <v>357</v>
      </c>
      <c r="D232" s="278">
        <v>23</v>
      </c>
      <c r="E232" s="292">
        <v>5819</v>
      </c>
      <c r="F232" s="278">
        <v>90</v>
      </c>
      <c r="G232" s="292">
        <v>11922.45</v>
      </c>
      <c r="H232" s="296"/>
      <c r="I232" s="292">
        <f>E232+G232</f>
        <v>17741.45</v>
      </c>
      <c r="J232" s="294">
        <f>G232/I232</f>
        <v>0.6720110250289576</v>
      </c>
      <c r="K232" s="387">
        <f>(G232*0.005)*J232</f>
        <v>40.06008922678248</v>
      </c>
      <c r="L232" s="388">
        <v>0.15</v>
      </c>
      <c r="M232" s="387"/>
      <c r="N232" s="288">
        <f>K232-M232</f>
        <v>40.06008922678248</v>
      </c>
      <c r="O232" s="264"/>
    </row>
    <row r="233" spans="2:16" hidden="1" x14ac:dyDescent="0.25">
      <c r="B233" s="295"/>
      <c r="C233" s="278" t="s">
        <v>289</v>
      </c>
      <c r="D233" s="278">
        <v>23</v>
      </c>
      <c r="E233" s="292">
        <v>4662.8500000000004</v>
      </c>
      <c r="F233" s="278">
        <v>100</v>
      </c>
      <c r="G233" s="292">
        <v>14964.75</v>
      </c>
      <c r="H233" s="278"/>
      <c r="I233" s="292">
        <f>E233+G233</f>
        <v>19627.599999999999</v>
      </c>
      <c r="J233" s="294">
        <f>G233/I233</f>
        <v>0.76243402147995687</v>
      </c>
      <c r="K233" s="387">
        <f>(G233*0.005)*J233</f>
        <v>57.048172614710928</v>
      </c>
      <c r="L233" s="388">
        <v>0.15</v>
      </c>
      <c r="M233" s="387"/>
      <c r="N233" s="288">
        <f t="shared" ref="N233" si="44">K233-M233</f>
        <v>57.048172614710928</v>
      </c>
    </row>
    <row r="234" spans="2:16" hidden="1" x14ac:dyDescent="0.25">
      <c r="B234" s="295"/>
      <c r="C234" s="278"/>
      <c r="D234" s="278"/>
      <c r="E234" s="292"/>
      <c r="F234" s="278"/>
      <c r="G234" s="292"/>
      <c r="H234" s="278"/>
      <c r="I234" s="292"/>
      <c r="J234" s="294"/>
    </row>
    <row r="235" spans="2:16" hidden="1" x14ac:dyDescent="0.25">
      <c r="B235" s="295" t="s">
        <v>278</v>
      </c>
      <c r="C235" s="278"/>
      <c r="D235" s="278"/>
      <c r="E235" s="292"/>
      <c r="F235" s="278"/>
      <c r="G235" s="292"/>
      <c r="H235" s="278"/>
      <c r="I235" s="292"/>
      <c r="J235" s="294"/>
    </row>
    <row r="236" spans="2:16" hidden="1" x14ac:dyDescent="0.25">
      <c r="B236" s="295"/>
      <c r="C236" s="278"/>
      <c r="D236" s="278"/>
      <c r="E236" s="304">
        <f>E232+E233</f>
        <v>10481.85</v>
      </c>
      <c r="F236" s="278"/>
      <c r="G236" s="304">
        <f>G232+G233</f>
        <v>26887.200000000001</v>
      </c>
      <c r="H236" s="278"/>
      <c r="I236" s="292"/>
      <c r="J236" s="294"/>
      <c r="M236" s="290" t="s">
        <v>463</v>
      </c>
      <c r="N236" s="288">
        <f>SUM(N232:N235)</f>
        <v>97.108261841493402</v>
      </c>
    </row>
    <row r="237" spans="2:16" ht="15.75" hidden="1" x14ac:dyDescent="0.25">
      <c r="C237" s="313" t="s">
        <v>264</v>
      </c>
      <c r="D237" s="314" t="s">
        <v>265</v>
      </c>
      <c r="E237" s="314" t="s">
        <v>266</v>
      </c>
      <c r="F237" s="314" t="s">
        <v>265</v>
      </c>
      <c r="G237" s="314" t="s">
        <v>267</v>
      </c>
      <c r="H237" s="314" t="s">
        <v>268</v>
      </c>
      <c r="I237" s="314" t="s">
        <v>269</v>
      </c>
      <c r="J237" s="314" t="s">
        <v>270</v>
      </c>
      <c r="K237" s="386" t="s">
        <v>462</v>
      </c>
      <c r="L237" s="386" t="s">
        <v>458</v>
      </c>
      <c r="M237" s="386"/>
      <c r="N237" s="386" t="s">
        <v>459</v>
      </c>
      <c r="O237" s="386" t="s">
        <v>460</v>
      </c>
      <c r="P237" s="386" t="s">
        <v>461</v>
      </c>
    </row>
    <row r="238" spans="2:16" hidden="1" x14ac:dyDescent="0.25">
      <c r="B238" s="295"/>
      <c r="C238" s="278"/>
      <c r="D238" s="278"/>
      <c r="E238" s="292"/>
      <c r="F238" s="278"/>
      <c r="G238" s="292"/>
      <c r="H238" s="278"/>
      <c r="I238" s="292"/>
      <c r="J238" s="294"/>
      <c r="K238" s="387">
        <f>(G238*0.005)*J238</f>
        <v>0</v>
      </c>
      <c r="L238" s="388">
        <v>0.15</v>
      </c>
      <c r="M238" s="387"/>
      <c r="N238" s="288">
        <f>K238-M238</f>
        <v>0</v>
      </c>
      <c r="O238" s="264"/>
    </row>
    <row r="239" spans="2:16" hidden="1" x14ac:dyDescent="0.25">
      <c r="B239" s="295"/>
      <c r="C239" s="278"/>
      <c r="D239" s="278"/>
      <c r="E239" s="292"/>
      <c r="F239" s="278"/>
      <c r="G239" s="292"/>
      <c r="H239" s="278"/>
      <c r="I239" s="292"/>
      <c r="J239" s="294"/>
      <c r="K239" s="387">
        <f>(G239*0.005)*J239</f>
        <v>0</v>
      </c>
      <c r="L239" s="388">
        <v>0.15</v>
      </c>
      <c r="M239" s="387"/>
      <c r="N239" s="288">
        <f t="shared" ref="N239" si="45">K239-M239</f>
        <v>0</v>
      </c>
    </row>
    <row r="240" spans="2:16" hidden="1" x14ac:dyDescent="0.25">
      <c r="B240" s="295" t="s">
        <v>279</v>
      </c>
      <c r="C240" s="278"/>
      <c r="D240" s="278"/>
      <c r="E240" s="292"/>
      <c r="F240" s="278"/>
      <c r="G240" s="292"/>
      <c r="H240" s="278"/>
      <c r="I240" s="292"/>
      <c r="J240" s="294"/>
    </row>
    <row r="241" spans="2:16" hidden="1" x14ac:dyDescent="0.25">
      <c r="B241" s="295"/>
      <c r="C241" s="278"/>
      <c r="D241" s="278"/>
      <c r="E241" s="292"/>
      <c r="F241" s="278"/>
      <c r="G241" s="292"/>
      <c r="H241" s="278"/>
      <c r="I241" s="292"/>
      <c r="J241" s="294"/>
    </row>
    <row r="242" spans="2:16" hidden="1" x14ac:dyDescent="0.25">
      <c r="B242" s="295"/>
      <c r="C242" s="278"/>
      <c r="D242" s="278"/>
      <c r="E242" s="292"/>
      <c r="F242" s="278"/>
      <c r="G242" s="292"/>
      <c r="H242" s="278"/>
      <c r="I242" s="292"/>
      <c r="J242" s="294"/>
      <c r="M242" s="290" t="s">
        <v>463</v>
      </c>
      <c r="N242" s="288">
        <f>SUM(N238:N241)</f>
        <v>0</v>
      </c>
    </row>
    <row r="243" spans="2:16" ht="15.75" hidden="1" x14ac:dyDescent="0.25">
      <c r="B243" s="278"/>
      <c r="C243" s="313" t="s">
        <v>264</v>
      </c>
      <c r="D243" s="314" t="s">
        <v>265</v>
      </c>
      <c r="E243" s="314" t="s">
        <v>266</v>
      </c>
      <c r="F243" s="314" t="s">
        <v>265</v>
      </c>
      <c r="G243" s="314" t="s">
        <v>267</v>
      </c>
      <c r="H243" s="314" t="s">
        <v>268</v>
      </c>
      <c r="I243" s="314" t="s">
        <v>269</v>
      </c>
      <c r="J243" s="314" t="s">
        <v>270</v>
      </c>
      <c r="K243" s="386" t="s">
        <v>462</v>
      </c>
      <c r="L243" s="386" t="s">
        <v>458</v>
      </c>
      <c r="M243" s="386"/>
      <c r="N243" s="386" t="s">
        <v>459</v>
      </c>
      <c r="O243" s="386" t="s">
        <v>460</v>
      </c>
      <c r="P243" s="386" t="s">
        <v>461</v>
      </c>
    </row>
    <row r="244" spans="2:16" hidden="1" x14ac:dyDescent="0.25">
      <c r="B244" s="293"/>
      <c r="C244" s="278"/>
      <c r="D244" s="278"/>
      <c r="E244" s="292"/>
      <c r="F244" s="278"/>
      <c r="G244" s="292"/>
      <c r="H244" s="278"/>
      <c r="I244" s="292"/>
      <c r="J244" s="294"/>
      <c r="K244" s="387">
        <f>(G244*0.005)*J244</f>
        <v>0</v>
      </c>
      <c r="L244" s="388">
        <v>0.15</v>
      </c>
      <c r="M244" s="387"/>
      <c r="N244" s="288">
        <f>K244-M244</f>
        <v>0</v>
      </c>
      <c r="O244" s="264"/>
    </row>
    <row r="245" spans="2:16" hidden="1" x14ac:dyDescent="0.25">
      <c r="B245" s="295"/>
      <c r="C245" s="278" t="s">
        <v>288</v>
      </c>
      <c r="D245" s="278">
        <v>38</v>
      </c>
      <c r="E245" s="292">
        <v>7860.86</v>
      </c>
      <c r="F245" s="278">
        <v>101</v>
      </c>
      <c r="G245" s="292">
        <v>12694.32</v>
      </c>
      <c r="H245" s="278">
        <f>D245+F245</f>
        <v>139</v>
      </c>
      <c r="I245" s="292">
        <f>E245+G245</f>
        <v>20555.18</v>
      </c>
      <c r="J245" s="294">
        <f>G245/I245</f>
        <v>0.61757279673542143</v>
      </c>
      <c r="K245" s="387">
        <f>(G245*0.005)*J245</f>
        <v>39.198333525271977</v>
      </c>
      <c r="L245" s="388">
        <v>0.15</v>
      </c>
      <c r="M245" s="387"/>
      <c r="N245" s="288">
        <f t="shared" ref="N245" si="46">K245-M245</f>
        <v>39.198333525271977</v>
      </c>
    </row>
    <row r="246" spans="2:16" hidden="1" x14ac:dyDescent="0.25">
      <c r="B246" s="295" t="s">
        <v>280</v>
      </c>
      <c r="C246" s="278" t="s">
        <v>414</v>
      </c>
      <c r="D246" s="278">
        <v>23</v>
      </c>
      <c r="E246" s="292">
        <v>5441.98</v>
      </c>
      <c r="F246" s="278">
        <v>100</v>
      </c>
      <c r="G246" s="292">
        <v>10908.75</v>
      </c>
      <c r="H246" s="278">
        <f>D246+F246</f>
        <v>123</v>
      </c>
      <c r="I246" s="292">
        <f>E246+G246</f>
        <v>16350.73</v>
      </c>
      <c r="J246" s="294">
        <f>G246/I246</f>
        <v>0.66717204675265263</v>
      </c>
      <c r="K246" s="387">
        <f>(G246*0.005)*J246</f>
        <v>36.390065325064995</v>
      </c>
      <c r="L246" s="388">
        <v>0.15</v>
      </c>
      <c r="M246" s="387"/>
      <c r="N246" s="288">
        <f t="shared" ref="N246" si="47">K246-M246</f>
        <v>36.390065325064995</v>
      </c>
    </row>
    <row r="247" spans="2:16" hidden="1" x14ac:dyDescent="0.25">
      <c r="B247" s="295"/>
      <c r="C247" s="278"/>
      <c r="D247" s="278"/>
      <c r="E247" s="292"/>
      <c r="F247" s="278"/>
      <c r="G247" s="292"/>
      <c r="H247" s="278"/>
      <c r="I247" s="292"/>
      <c r="J247" s="294"/>
    </row>
    <row r="248" spans="2:16" hidden="1" x14ac:dyDescent="0.25">
      <c r="B248" s="295"/>
      <c r="C248" s="278"/>
      <c r="D248" s="278"/>
      <c r="E248" s="304">
        <f>E244+E245</f>
        <v>7860.86</v>
      </c>
      <c r="F248" s="278"/>
      <c r="G248" s="304">
        <f>G244+G245</f>
        <v>12694.32</v>
      </c>
      <c r="H248" s="278"/>
      <c r="I248" s="292"/>
      <c r="J248" s="294"/>
      <c r="M248" s="290" t="s">
        <v>463</v>
      </c>
      <c r="N248" s="288">
        <f>SUM(N244:N247)</f>
        <v>75.588398850336972</v>
      </c>
    </row>
    <row r="249" spans="2:16" ht="15.75" hidden="1" x14ac:dyDescent="0.25">
      <c r="C249" s="313" t="s">
        <v>264</v>
      </c>
      <c r="D249" s="314" t="s">
        <v>265</v>
      </c>
      <c r="E249" s="314" t="s">
        <v>266</v>
      </c>
      <c r="F249" s="314" t="s">
        <v>265</v>
      </c>
      <c r="G249" s="314" t="s">
        <v>267</v>
      </c>
      <c r="H249" s="314" t="s">
        <v>268</v>
      </c>
      <c r="I249" s="314" t="s">
        <v>269</v>
      </c>
      <c r="J249" s="314" t="s">
        <v>270</v>
      </c>
      <c r="K249" s="386" t="s">
        <v>462</v>
      </c>
      <c r="L249" s="386" t="s">
        <v>458</v>
      </c>
      <c r="M249" s="386"/>
      <c r="N249" s="386" t="s">
        <v>459</v>
      </c>
      <c r="O249" s="386" t="s">
        <v>460</v>
      </c>
      <c r="P249" s="386" t="s">
        <v>461</v>
      </c>
    </row>
    <row r="250" spans="2:16" hidden="1" x14ac:dyDescent="0.25">
      <c r="B250" s="295"/>
      <c r="C250" s="278"/>
      <c r="D250" s="278"/>
      <c r="E250" s="292"/>
      <c r="F250" s="278"/>
      <c r="G250" s="292"/>
      <c r="H250" s="278"/>
      <c r="I250" s="292"/>
      <c r="J250" s="294"/>
      <c r="K250" s="387">
        <f>(G250*0.005)*J250</f>
        <v>0</v>
      </c>
      <c r="L250" s="388">
        <v>0.15</v>
      </c>
      <c r="M250" s="387"/>
      <c r="N250" s="288">
        <f>K250-M250</f>
        <v>0</v>
      </c>
      <c r="O250" s="264"/>
    </row>
    <row r="251" spans="2:16" hidden="1" x14ac:dyDescent="0.25">
      <c r="B251" s="295"/>
      <c r="C251" s="278" t="s">
        <v>288</v>
      </c>
      <c r="D251" s="278">
        <v>22</v>
      </c>
      <c r="E251" s="292">
        <v>6831.19</v>
      </c>
      <c r="F251" s="278">
        <v>77</v>
      </c>
      <c r="G251" s="292">
        <v>12271.52</v>
      </c>
      <c r="H251" s="278">
        <f>D251+F251</f>
        <v>99</v>
      </c>
      <c r="I251" s="292">
        <f>E251+G251</f>
        <v>19102.71</v>
      </c>
      <c r="J251" s="294">
        <f>G251/I251</f>
        <v>0.64239681176126329</v>
      </c>
      <c r="K251" s="387">
        <f>(G251*0.005)*J251</f>
        <v>39.415926617322889</v>
      </c>
      <c r="L251" s="388">
        <v>0.15</v>
      </c>
      <c r="M251" s="387"/>
      <c r="N251" s="288">
        <f t="shared" ref="N251:N252" si="48">K251-M251</f>
        <v>39.415926617322889</v>
      </c>
    </row>
    <row r="252" spans="2:16" hidden="1" x14ac:dyDescent="0.25">
      <c r="B252" s="295" t="s">
        <v>281</v>
      </c>
      <c r="C252" s="278" t="s">
        <v>414</v>
      </c>
      <c r="D252" s="278">
        <v>19</v>
      </c>
      <c r="E252" s="292">
        <v>3677.57</v>
      </c>
      <c r="F252" s="278">
        <v>84</v>
      </c>
      <c r="G252" s="292">
        <v>8967.73</v>
      </c>
      <c r="H252" s="278">
        <f>D252+F252</f>
        <v>103</v>
      </c>
      <c r="I252" s="292">
        <f>E252+G252</f>
        <v>12645.3</v>
      </c>
      <c r="J252" s="294">
        <f>G252/I252</f>
        <v>0.70917495037681988</v>
      </c>
      <c r="K252" s="387">
        <f>(G252*0.005)*J252</f>
        <v>31.798447388713594</v>
      </c>
      <c r="L252" s="388">
        <v>0.15</v>
      </c>
      <c r="M252" s="387"/>
      <c r="N252" s="288">
        <f t="shared" si="48"/>
        <v>31.798447388713594</v>
      </c>
    </row>
    <row r="253" spans="2:16" hidden="1" x14ac:dyDescent="0.25">
      <c r="B253" s="295"/>
      <c r="C253" s="278"/>
      <c r="D253" s="278"/>
      <c r="E253" s="292"/>
      <c r="F253" s="278"/>
      <c r="G253" s="292"/>
      <c r="H253" s="278"/>
      <c r="I253" s="292"/>
      <c r="J253" s="294"/>
    </row>
    <row r="254" spans="2:16" hidden="1" x14ac:dyDescent="0.25">
      <c r="B254" s="295"/>
      <c r="C254" s="278"/>
      <c r="D254" s="278"/>
      <c r="E254" s="304">
        <f>E250+E251</f>
        <v>6831.19</v>
      </c>
      <c r="F254" s="278"/>
      <c r="G254" s="304">
        <f>G250+G251</f>
        <v>12271.52</v>
      </c>
      <c r="H254" s="278"/>
      <c r="I254" s="292"/>
      <c r="J254" s="294"/>
      <c r="M254" s="290" t="s">
        <v>463</v>
      </c>
      <c r="N254" s="288">
        <f>SUM(N250:N253)</f>
        <v>71.214374006036479</v>
      </c>
    </row>
    <row r="255" spans="2:16" ht="15.75" hidden="1" x14ac:dyDescent="0.25">
      <c r="B255" s="278"/>
      <c r="C255" s="313" t="s">
        <v>264</v>
      </c>
      <c r="D255" s="314" t="s">
        <v>265</v>
      </c>
      <c r="E255" s="314" t="s">
        <v>266</v>
      </c>
      <c r="F255" s="314" t="s">
        <v>265</v>
      </c>
      <c r="G255" s="314" t="s">
        <v>267</v>
      </c>
      <c r="H255" s="314" t="s">
        <v>268</v>
      </c>
      <c r="I255" s="314" t="s">
        <v>269</v>
      </c>
      <c r="J255" s="314" t="s">
        <v>270</v>
      </c>
      <c r="K255" s="386" t="s">
        <v>462</v>
      </c>
      <c r="L255" s="386" t="s">
        <v>458</v>
      </c>
      <c r="M255" s="386"/>
      <c r="N255" s="386" t="s">
        <v>459</v>
      </c>
      <c r="O255" s="386" t="s">
        <v>460</v>
      </c>
      <c r="P255" s="386" t="s">
        <v>461</v>
      </c>
    </row>
    <row r="256" spans="2:16" hidden="1" x14ac:dyDescent="0.25">
      <c r="B256" s="293"/>
      <c r="C256" s="278"/>
      <c r="D256" s="278"/>
      <c r="E256" s="292"/>
      <c r="F256" s="278"/>
      <c r="G256" s="292"/>
      <c r="H256" s="278"/>
      <c r="I256" s="292"/>
      <c r="J256" s="294"/>
      <c r="K256" s="387">
        <f>(G256*0.005)*J256</f>
        <v>0</v>
      </c>
      <c r="L256" s="388">
        <v>0.15</v>
      </c>
      <c r="M256" s="387"/>
      <c r="N256" s="288">
        <f>K256-M256</f>
        <v>0</v>
      </c>
      <c r="O256" s="264"/>
    </row>
    <row r="257" spans="2:20" hidden="1" x14ac:dyDescent="0.25">
      <c r="B257" s="295"/>
      <c r="C257" s="278"/>
      <c r="D257" s="278"/>
      <c r="E257" s="292"/>
      <c r="F257" s="278"/>
      <c r="G257" s="292"/>
      <c r="H257" s="278"/>
      <c r="I257" s="292"/>
      <c r="J257" s="294"/>
      <c r="K257" s="387">
        <f>(G257*0.005)*J257</f>
        <v>0</v>
      </c>
      <c r="L257" s="388">
        <v>0.15</v>
      </c>
      <c r="M257" s="387"/>
      <c r="N257" s="288">
        <f t="shared" ref="N257:N258" si="49">K257-M257</f>
        <v>0</v>
      </c>
    </row>
    <row r="258" spans="2:20" hidden="1" x14ac:dyDescent="0.25">
      <c r="B258" s="295" t="s">
        <v>282</v>
      </c>
      <c r="C258" s="278"/>
      <c r="D258" s="278"/>
      <c r="E258" s="292"/>
      <c r="F258" s="278"/>
      <c r="G258" s="292"/>
      <c r="H258" s="278"/>
      <c r="I258" s="292"/>
      <c r="J258" s="294"/>
      <c r="K258" s="387">
        <f>(G258*0.005)*J258</f>
        <v>0</v>
      </c>
      <c r="L258" s="388">
        <v>0.15</v>
      </c>
      <c r="M258" s="387"/>
      <c r="N258" s="288">
        <f t="shared" si="49"/>
        <v>0</v>
      </c>
    </row>
    <row r="259" spans="2:20" hidden="1" x14ac:dyDescent="0.25">
      <c r="B259" s="295"/>
      <c r="C259" s="278"/>
      <c r="D259" s="278"/>
      <c r="E259" s="292"/>
      <c r="F259" s="278"/>
      <c r="G259" s="292"/>
      <c r="H259" s="278"/>
      <c r="I259" s="292"/>
      <c r="J259" s="294"/>
    </row>
    <row r="260" spans="2:20" hidden="1" x14ac:dyDescent="0.25">
      <c r="B260" s="295"/>
      <c r="C260" s="278"/>
      <c r="D260" s="278"/>
      <c r="E260" s="292"/>
      <c r="F260" s="278"/>
      <c r="G260" s="292"/>
      <c r="H260" s="278"/>
      <c r="I260" s="292"/>
      <c r="J260" s="294"/>
      <c r="M260" s="290" t="s">
        <v>463</v>
      </c>
      <c r="N260" s="288">
        <f>SUM(N256:N259)</f>
        <v>0</v>
      </c>
    </row>
    <row r="261" spans="2:20" hidden="1" x14ac:dyDescent="0.25">
      <c r="C261" s="291"/>
      <c r="D261" s="291"/>
      <c r="E261" s="291"/>
      <c r="F261" s="291"/>
      <c r="M261" s="290" t="s">
        <v>467</v>
      </c>
      <c r="N261" s="395">
        <f>SUM(N190+N197+N204+N211+N218+N224+N230+N236+N248+N254)</f>
        <v>536.58242897696061</v>
      </c>
    </row>
    <row r="262" spans="2:20" hidden="1" x14ac:dyDescent="0.25"/>
    <row r="263" spans="2:20" hidden="1" x14ac:dyDescent="0.25"/>
    <row r="264" spans="2:20" ht="15.75" customHeight="1" x14ac:dyDescent="0.25">
      <c r="B264" s="381">
        <v>2026</v>
      </c>
      <c r="C264" s="2" t="s">
        <v>0</v>
      </c>
      <c r="D264" s="2" t="s">
        <v>1</v>
      </c>
      <c r="E264" s="3" t="s">
        <v>2</v>
      </c>
      <c r="F264" s="3" t="s">
        <v>3</v>
      </c>
      <c r="G264" s="3" t="s">
        <v>4</v>
      </c>
      <c r="H264" s="2" t="s">
        <v>5</v>
      </c>
      <c r="I264" s="2" t="s">
        <v>6</v>
      </c>
      <c r="J264" s="3" t="s">
        <v>7</v>
      </c>
      <c r="K264" s="3" t="s">
        <v>8</v>
      </c>
      <c r="L264" s="3" t="s">
        <v>9</v>
      </c>
      <c r="M264" s="3" t="s">
        <v>10</v>
      </c>
      <c r="N264" s="2" t="s">
        <v>11</v>
      </c>
      <c r="O264" s="168"/>
      <c r="P264" s="42"/>
      <c r="Q264" s="43"/>
      <c r="R264" s="4"/>
      <c r="T264" s="44"/>
    </row>
    <row r="265" spans="2:20" ht="19.5" customHeight="1" x14ac:dyDescent="0.3">
      <c r="B265" s="165" t="s">
        <v>455</v>
      </c>
      <c r="C265" s="7">
        <v>32000</v>
      </c>
      <c r="D265" s="7">
        <v>29000</v>
      </c>
      <c r="E265" s="7">
        <v>34000</v>
      </c>
      <c r="F265" s="7">
        <v>34000</v>
      </c>
      <c r="G265" s="7">
        <v>34000</v>
      </c>
      <c r="H265" s="7">
        <v>29000</v>
      </c>
      <c r="I265" s="7">
        <f>I141*1.12</f>
        <v>32766.686399999999</v>
      </c>
      <c r="J265" s="7">
        <f t="shared" ref="J265:M265" si="50">J141*1.12</f>
        <v>35485.184000000001</v>
      </c>
      <c r="K265" s="7">
        <f t="shared" si="50"/>
        <v>37901.169600000008</v>
      </c>
      <c r="L265" s="7">
        <f t="shared" si="50"/>
        <v>48059.905600000013</v>
      </c>
      <c r="M265" s="7">
        <f t="shared" si="50"/>
        <v>39913.193600000006</v>
      </c>
      <c r="N265" s="7">
        <f>N141*1.12</f>
        <v>16824.319680000001</v>
      </c>
      <c r="O265" s="7">
        <f>SUM(C265:N265)</f>
        <v>402950.45888000005</v>
      </c>
      <c r="P265" s="13"/>
      <c r="Q265" s="13"/>
      <c r="R265" s="12"/>
      <c r="T265" s="36"/>
    </row>
    <row r="266" spans="2:20" ht="19.5" customHeight="1" x14ac:dyDescent="0.3">
      <c r="B266" s="165"/>
      <c r="C266" s="380">
        <f>(C265/C141)-1</f>
        <v>0.49350837251459212</v>
      </c>
      <c r="D266" s="380">
        <f t="shared" ref="D266:N266" si="51">(D265/D141)-1</f>
        <v>0.39246675485622795</v>
      </c>
      <c r="E266" s="380">
        <f t="shared" si="51"/>
        <v>0.57760249892235804</v>
      </c>
      <c r="F266" s="380">
        <f t="shared" si="51"/>
        <v>0.28665354280053013</v>
      </c>
      <c r="G266" s="380">
        <f t="shared" si="51"/>
        <v>1.0495481599174461E-2</v>
      </c>
      <c r="H266" s="380">
        <f t="shared" si="51"/>
        <v>0.41464725770629074</v>
      </c>
      <c r="I266" s="380">
        <f t="shared" si="51"/>
        <v>0.12000000000000011</v>
      </c>
      <c r="J266" s="380">
        <f t="shared" si="51"/>
        <v>0.12000000000000011</v>
      </c>
      <c r="K266" s="380">
        <f t="shared" si="51"/>
        <v>0.12000000000000011</v>
      </c>
      <c r="L266" s="380">
        <f t="shared" si="51"/>
        <v>0.12000000000000011</v>
      </c>
      <c r="M266" s="380">
        <f t="shared" si="51"/>
        <v>0.12000000000000011</v>
      </c>
      <c r="N266" s="380">
        <f t="shared" si="51"/>
        <v>0.12000000000000011</v>
      </c>
      <c r="O266" s="7"/>
      <c r="P266" s="13"/>
      <c r="Q266" s="13"/>
      <c r="R266" s="12"/>
      <c r="T266" s="36"/>
    </row>
    <row r="267" spans="2:20" ht="15.75" customHeight="1" x14ac:dyDescent="0.25">
      <c r="B267" s="166" t="s">
        <v>13</v>
      </c>
      <c r="C267" s="46">
        <v>22450.59</v>
      </c>
      <c r="D267" s="46"/>
      <c r="E267" s="46"/>
      <c r="F267" s="46"/>
      <c r="G267" s="46"/>
      <c r="H267" s="46"/>
      <c r="I267" s="46"/>
      <c r="J267" s="46"/>
      <c r="K267" s="4"/>
      <c r="L267" s="4"/>
      <c r="M267" s="46"/>
      <c r="N267" s="4"/>
      <c r="O267" s="4"/>
      <c r="P267" s="33"/>
      <c r="Q267" s="33"/>
    </row>
    <row r="268" spans="2:20" ht="15.75" customHeight="1" x14ac:dyDescent="0.25">
      <c r="B268" s="167" t="s">
        <v>14</v>
      </c>
      <c r="C268" s="48">
        <v>15164</v>
      </c>
      <c r="D268" s="48"/>
      <c r="E268" s="48"/>
      <c r="F268" s="46"/>
      <c r="G268" s="46"/>
      <c r="H268" s="46"/>
      <c r="I268" s="46"/>
      <c r="J268" s="48"/>
      <c r="K268" s="4"/>
      <c r="L268" s="12"/>
      <c r="M268" s="4"/>
      <c r="N268" s="12"/>
      <c r="O268" s="12"/>
      <c r="P268" s="41"/>
      <c r="Q268" s="41"/>
      <c r="R268" s="12"/>
    </row>
    <row r="269" spans="2:20" ht="18.75" x14ac:dyDescent="0.3">
      <c r="B269" s="274" t="s">
        <v>456</v>
      </c>
      <c r="C269" s="246">
        <f>SUM(C267:C268)</f>
        <v>37614.589999999997</v>
      </c>
      <c r="D269" s="7"/>
      <c r="E269" s="7"/>
      <c r="F269" s="7"/>
      <c r="G269" s="7"/>
      <c r="H269" s="7"/>
      <c r="I269" s="7"/>
      <c r="J269" s="7"/>
      <c r="K269" s="7"/>
      <c r="L269" s="49"/>
      <c r="M269" s="7"/>
      <c r="N269" s="7"/>
      <c r="O269" s="7">
        <f>SUM(C269:N269)</f>
        <v>37614.589999999997</v>
      </c>
      <c r="P269" s="31"/>
      <c r="Q269" s="31"/>
    </row>
    <row r="270" spans="2:20" ht="15.75" customHeight="1" x14ac:dyDescent="0.25">
      <c r="B270" s="14" t="s">
        <v>111</v>
      </c>
      <c r="C270" s="16">
        <f>(C269/C265)-1</f>
        <v>0.17545593749999999</v>
      </c>
      <c r="D270" s="16"/>
      <c r="E270" s="16"/>
      <c r="F270" s="16"/>
      <c r="G270" s="16"/>
      <c r="H270" s="16"/>
      <c r="I270" s="16"/>
      <c r="P270" s="22"/>
      <c r="Q270" s="22"/>
    </row>
    <row r="271" spans="2:20" ht="15.75" customHeight="1" x14ac:dyDescent="0.25">
      <c r="B271" s="14" t="s">
        <v>17</v>
      </c>
      <c r="C271" s="85">
        <f>(C269/C141)-1</f>
        <v>0.75555328417823908</v>
      </c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43"/>
      <c r="P271" s="43"/>
      <c r="Q271" s="43"/>
    </row>
    <row r="272" spans="2:20" ht="13.5" customHeight="1" x14ac:dyDescent="0.25">
      <c r="B272" s="14"/>
      <c r="C272" s="17"/>
      <c r="D272" s="17"/>
      <c r="E272" s="17"/>
      <c r="F272" s="17"/>
      <c r="G272" s="17"/>
      <c r="H272" s="17"/>
      <c r="I272" s="17"/>
      <c r="J272" s="17"/>
      <c r="O272" s="43"/>
      <c r="P272" s="43"/>
      <c r="Q272" s="43"/>
    </row>
    <row r="273" spans="2:17" ht="15.75" customHeight="1" x14ac:dyDescent="0.3">
      <c r="B273" s="5" t="s">
        <v>34</v>
      </c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</row>
    <row r="274" spans="2:17" ht="15.75" customHeight="1" x14ac:dyDescent="0.25">
      <c r="B274" s="14" t="s">
        <v>34</v>
      </c>
      <c r="C274" s="18">
        <f>C275+C276</f>
        <v>30215.96</v>
      </c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</row>
    <row r="275" spans="2:17" ht="15.75" customHeight="1" x14ac:dyDescent="0.25">
      <c r="B275" s="14" t="s">
        <v>36</v>
      </c>
      <c r="C275" s="18">
        <v>19694.62</v>
      </c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</row>
    <row r="276" spans="2:17" ht="15.75" customHeight="1" x14ac:dyDescent="0.25">
      <c r="B276" s="82" t="s">
        <v>37</v>
      </c>
      <c r="C276" s="84">
        <v>10521.34</v>
      </c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</row>
    <row r="277" spans="2:17" ht="15.75" customHeight="1" x14ac:dyDescent="0.25">
      <c r="B277" s="14" t="s">
        <v>38</v>
      </c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Q277" s="22"/>
    </row>
    <row r="278" spans="2:17" s="122" customFormat="1" ht="15.75" customHeight="1" x14ac:dyDescent="0.25">
      <c r="B278" s="126" t="s">
        <v>42</v>
      </c>
      <c r="C278" s="373"/>
      <c r="D278" s="377"/>
      <c r="E278" s="377"/>
      <c r="F278" s="373"/>
      <c r="G278" s="373"/>
      <c r="H278" s="373"/>
      <c r="I278" s="373"/>
      <c r="J278" s="373"/>
      <c r="K278" s="373"/>
      <c r="L278" s="376"/>
      <c r="M278" s="160"/>
      <c r="N278" s="121"/>
      <c r="Q278" s="127"/>
    </row>
    <row r="279" spans="2:17" s="123" customFormat="1" ht="15.75" customHeight="1" x14ac:dyDescent="0.25">
      <c r="B279" s="82" t="s">
        <v>37</v>
      </c>
      <c r="C279" s="374"/>
      <c r="D279" s="374"/>
      <c r="E279" s="374"/>
      <c r="F279" s="375"/>
      <c r="G279" s="375"/>
      <c r="H279" s="375"/>
      <c r="I279" s="375"/>
      <c r="J279" s="375"/>
      <c r="K279" s="375"/>
      <c r="L279" s="375"/>
      <c r="M279" s="164"/>
      <c r="N279" s="125"/>
      <c r="Q279" s="128"/>
    </row>
    <row r="280" spans="2:17" s="123" customFormat="1" ht="15.75" customHeight="1" x14ac:dyDescent="0.25">
      <c r="B280" s="82"/>
      <c r="C280" s="206"/>
      <c r="D280" s="206"/>
      <c r="E280" s="206"/>
      <c r="F280" s="130"/>
      <c r="G280" s="375"/>
      <c r="H280" s="375"/>
      <c r="I280" s="375"/>
      <c r="J280" s="375"/>
      <c r="K280" s="375"/>
      <c r="L280" s="375"/>
      <c r="M280" s="164"/>
      <c r="N280" s="125"/>
      <c r="Q280" s="128"/>
    </row>
    <row r="281" spans="2:17" ht="15.75" customHeight="1" x14ac:dyDescent="0.25">
      <c r="B281" s="355" t="s">
        <v>43</v>
      </c>
      <c r="C281" s="321">
        <f>C269+C276</f>
        <v>48135.929999999993</v>
      </c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Q281" s="22"/>
    </row>
    <row r="282" spans="2:17" x14ac:dyDescent="0.25">
      <c r="B282" s="14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Q282" s="22"/>
    </row>
    <row r="283" spans="2:17" ht="15.75" customHeight="1" x14ac:dyDescent="0.25">
      <c r="B283" s="14" t="s">
        <v>44</v>
      </c>
      <c r="C283" s="192">
        <v>0.26800000000000002</v>
      </c>
      <c r="D283" s="192"/>
      <c r="E283" s="192"/>
      <c r="F283" s="192"/>
      <c r="G283" s="85"/>
      <c r="H283" s="85"/>
      <c r="I283" s="85"/>
      <c r="J283" s="85"/>
      <c r="K283" s="85"/>
      <c r="L283" s="85"/>
      <c r="M283" s="85"/>
      <c r="N283" s="85"/>
      <c r="O283" s="43"/>
      <c r="P283" s="43"/>
      <c r="Q283" s="43"/>
    </row>
    <row r="284" spans="2:17" ht="15.75" customHeight="1" x14ac:dyDescent="0.25">
      <c r="B284" s="14" t="s">
        <v>45</v>
      </c>
      <c r="C284" s="111">
        <v>32</v>
      </c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43"/>
      <c r="P284" s="43"/>
      <c r="Q284" s="43"/>
    </row>
    <row r="285" spans="2:17" ht="14.25" customHeight="1" x14ac:dyDescent="0.25">
      <c r="B285" s="14"/>
      <c r="C285" s="17"/>
      <c r="D285" s="17"/>
      <c r="E285" s="17"/>
      <c r="F285" s="17"/>
      <c r="G285" s="17"/>
      <c r="H285" s="17"/>
      <c r="I285" s="17"/>
      <c r="J285" s="297"/>
      <c r="O285" s="43"/>
      <c r="P285" s="43"/>
      <c r="Q285" s="43"/>
    </row>
    <row r="286" spans="2:17" ht="14.25" customHeight="1" x14ac:dyDescent="0.25">
      <c r="B286" s="14" t="s">
        <v>412</v>
      </c>
      <c r="C286" s="80"/>
      <c r="D286" s="80"/>
      <c r="E286" s="80"/>
      <c r="F286" s="80"/>
      <c r="G286" s="80"/>
      <c r="H286" s="80"/>
      <c r="I286" s="80"/>
      <c r="J286" s="371"/>
      <c r="K286" s="80"/>
      <c r="L286" s="80"/>
      <c r="O286" s="43"/>
      <c r="P286" s="43"/>
      <c r="Q286" s="43"/>
    </row>
    <row r="287" spans="2:17" ht="14.25" customHeight="1" x14ac:dyDescent="0.25">
      <c r="B287" s="14"/>
      <c r="C287" s="17"/>
      <c r="D287" s="17"/>
      <c r="E287" s="17"/>
      <c r="F287" s="17"/>
      <c r="G287" s="17"/>
      <c r="H287" s="17"/>
      <c r="I287" s="17"/>
      <c r="J287" s="297"/>
      <c r="K287" s="278"/>
      <c r="L287" s="278"/>
      <c r="O287" s="43"/>
      <c r="P287" s="43"/>
      <c r="Q287" s="43"/>
    </row>
    <row r="288" spans="2:17" ht="15.75" customHeight="1" x14ac:dyDescent="0.25">
      <c r="B288" s="23" t="s">
        <v>39</v>
      </c>
      <c r="C288" s="114">
        <v>68</v>
      </c>
      <c r="D288" s="114"/>
      <c r="E288" s="297"/>
      <c r="F288" s="297"/>
      <c r="G288" s="297"/>
      <c r="H288" s="297"/>
      <c r="I288" s="297"/>
      <c r="J288" s="297"/>
      <c r="K288" s="297"/>
      <c r="L288" s="297"/>
      <c r="M288" s="378"/>
      <c r="N288" s="17"/>
    </row>
    <row r="289" spans="2:14" ht="15.75" customHeight="1" x14ac:dyDescent="0.25">
      <c r="B289" s="23" t="s">
        <v>22</v>
      </c>
      <c r="C289" s="278">
        <v>194</v>
      </c>
      <c r="D289" s="278"/>
      <c r="E289" s="278"/>
      <c r="F289" s="278"/>
      <c r="G289" s="278"/>
      <c r="H289" s="278"/>
      <c r="I289" s="278"/>
      <c r="J289" s="278"/>
      <c r="K289" s="278"/>
      <c r="L289" s="278"/>
      <c r="M289" s="278"/>
    </row>
    <row r="290" spans="2:14" ht="15.75" customHeight="1" x14ac:dyDescent="0.25">
      <c r="B290" s="23" t="s">
        <v>23</v>
      </c>
      <c r="C290" s="278">
        <v>2632</v>
      </c>
      <c r="D290" s="279"/>
      <c r="E290" s="278"/>
      <c r="F290" s="278"/>
      <c r="G290" s="278"/>
      <c r="H290" s="278"/>
      <c r="I290" s="278"/>
      <c r="J290" s="279"/>
      <c r="K290" s="278"/>
      <c r="L290" s="278"/>
      <c r="M290" s="278"/>
    </row>
    <row r="291" spans="2:14" ht="15.75" customHeight="1" x14ac:dyDescent="0.25">
      <c r="B291" s="23" t="s">
        <v>214</v>
      </c>
      <c r="C291" s="282">
        <f>C289/27</f>
        <v>7.1851851851851851</v>
      </c>
      <c r="D291" s="282"/>
      <c r="E291" s="298"/>
      <c r="F291" s="282"/>
      <c r="G291" s="282"/>
      <c r="H291" s="282"/>
      <c r="I291" s="282"/>
      <c r="J291" s="282"/>
      <c r="K291" s="282"/>
      <c r="L291" s="282"/>
      <c r="M291" s="282"/>
      <c r="N291" s="282"/>
    </row>
    <row r="292" spans="2:14" ht="15.75" customHeight="1" x14ac:dyDescent="0.25">
      <c r="B292" s="23" t="s">
        <v>49</v>
      </c>
      <c r="C292" s="102">
        <f>C290/C289</f>
        <v>13.56701030927835</v>
      </c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</row>
    <row r="293" spans="2:14" ht="15.75" customHeight="1" x14ac:dyDescent="0.25">
      <c r="B293" s="23" t="s">
        <v>50</v>
      </c>
      <c r="C293" s="38">
        <f>C269/C289</f>
        <v>193.88963917525771</v>
      </c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</row>
    <row r="294" spans="2:14" ht="15.75" customHeight="1" x14ac:dyDescent="0.25">
      <c r="B294" s="23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</row>
    <row r="295" spans="2:14" ht="15.75" customHeight="1" x14ac:dyDescent="0.25">
      <c r="B295" s="23" t="s">
        <v>97</v>
      </c>
      <c r="C295" s="281">
        <v>0.9</v>
      </c>
      <c r="D295" s="113"/>
      <c r="E295" s="299"/>
      <c r="F295" s="24"/>
      <c r="G295" s="299"/>
      <c r="H295" s="299"/>
      <c r="I295" s="299"/>
      <c r="J295" s="24"/>
      <c r="K295" s="24"/>
      <c r="L295" s="24"/>
      <c r="M295" s="24"/>
    </row>
    <row r="296" spans="2:14" ht="15.75" customHeight="1" x14ac:dyDescent="0.25">
      <c r="B296" s="23" t="s">
        <v>138</v>
      </c>
      <c r="C296" s="236">
        <v>30</v>
      </c>
      <c r="D296" s="278"/>
      <c r="E296" s="278"/>
      <c r="G296" s="278"/>
      <c r="H296" s="278"/>
      <c r="I296" s="278"/>
    </row>
    <row r="297" spans="2:14" x14ac:dyDescent="0.25">
      <c r="H297" s="278"/>
    </row>
    <row r="298" spans="2:14" ht="15.75" customHeight="1" x14ac:dyDescent="0.25">
      <c r="B298" s="217" t="s">
        <v>144</v>
      </c>
      <c r="C298" s="220"/>
      <c r="D298" s="222"/>
      <c r="E298" s="220"/>
      <c r="F298" s="220"/>
      <c r="G298" s="220"/>
      <c r="H298" s="222"/>
      <c r="I298" s="222"/>
      <c r="J298" s="222"/>
      <c r="K298" s="222"/>
      <c r="L298" s="222"/>
      <c r="M298" s="222"/>
      <c r="N298" s="222"/>
    </row>
    <row r="299" spans="2:14" ht="15.75" customHeight="1" x14ac:dyDescent="0.25">
      <c r="B299" s="183"/>
      <c r="C299" s="242" t="s">
        <v>496</v>
      </c>
      <c r="E299" s="330"/>
      <c r="F299" s="330"/>
      <c r="G299" s="330"/>
      <c r="H299" s="330"/>
      <c r="I299" s="330"/>
      <c r="J299" s="242"/>
      <c r="K299" s="242"/>
      <c r="L299" s="242"/>
    </row>
    <row r="300" spans="2:14" ht="15.75" customHeight="1" x14ac:dyDescent="0.25">
      <c r="B300" s="183"/>
      <c r="C300" s="194" t="s">
        <v>497</v>
      </c>
      <c r="E300" s="331"/>
      <c r="F300" s="331"/>
      <c r="G300" s="331"/>
      <c r="H300" s="331"/>
      <c r="I300" s="331"/>
      <c r="J300" s="194"/>
      <c r="K300" s="194"/>
      <c r="L300" s="194"/>
      <c r="M300" s="194"/>
    </row>
    <row r="301" spans="2:14" ht="15.75" customHeight="1" x14ac:dyDescent="0.25">
      <c r="B301" s="183"/>
      <c r="C301" s="194" t="s">
        <v>498</v>
      </c>
      <c r="E301" s="331"/>
      <c r="F301" s="331"/>
      <c r="G301" s="331"/>
      <c r="H301" s="331"/>
      <c r="I301" s="331"/>
      <c r="J301" s="194"/>
      <c r="K301" s="194"/>
      <c r="L301" s="194"/>
      <c r="M301" s="194"/>
    </row>
    <row r="302" spans="2:14" ht="15.75" customHeight="1" x14ac:dyDescent="0.25">
      <c r="B302" s="183"/>
      <c r="C302" t="s">
        <v>499</v>
      </c>
      <c r="E302" s="331"/>
      <c r="F302" s="331"/>
      <c r="G302" s="331"/>
      <c r="H302" s="331"/>
      <c r="I302" s="331"/>
      <c r="J302" s="194"/>
      <c r="K302" s="194"/>
      <c r="L302" s="194"/>
      <c r="M302" s="194"/>
    </row>
    <row r="303" spans="2:14" ht="15.75" customHeight="1" x14ac:dyDescent="0.25">
      <c r="B303" s="183"/>
      <c r="C303" t="s">
        <v>500</v>
      </c>
      <c r="E303" s="331"/>
      <c r="F303" s="331"/>
      <c r="G303" s="331"/>
      <c r="H303" s="331"/>
      <c r="I303" s="331"/>
      <c r="J303" s="194"/>
      <c r="K303" s="194"/>
      <c r="L303" s="194"/>
      <c r="M303" s="194"/>
    </row>
    <row r="304" spans="2:14" ht="15.75" customHeight="1" x14ac:dyDescent="0.25">
      <c r="B304" s="183"/>
      <c r="C304" t="s">
        <v>69</v>
      </c>
      <c r="E304" s="331"/>
      <c r="F304" s="331"/>
      <c r="G304" s="331"/>
      <c r="H304" s="331"/>
      <c r="I304" s="331"/>
      <c r="J304" s="194"/>
      <c r="K304" s="194"/>
      <c r="L304" s="194"/>
      <c r="M304" s="194"/>
    </row>
    <row r="305" spans="2:16" ht="15.75" customHeight="1" x14ac:dyDescent="0.25">
      <c r="B305" s="183"/>
      <c r="C305" t="s">
        <v>501</v>
      </c>
      <c r="E305" s="331"/>
      <c r="F305" s="331"/>
      <c r="G305" s="331"/>
      <c r="H305" s="331"/>
      <c r="I305" s="331"/>
      <c r="J305" s="194"/>
      <c r="K305" s="194"/>
      <c r="L305" s="194"/>
      <c r="M305" s="194"/>
    </row>
    <row r="306" spans="2:16" ht="15.75" customHeight="1" x14ac:dyDescent="0.25">
      <c r="B306" s="183"/>
      <c r="C306" t="s">
        <v>491</v>
      </c>
      <c r="E306" s="331"/>
      <c r="F306" s="331"/>
      <c r="G306" s="331"/>
      <c r="H306" s="331"/>
      <c r="I306" s="331"/>
      <c r="J306" s="194"/>
      <c r="K306" s="194"/>
      <c r="L306" s="194"/>
      <c r="M306" s="194"/>
    </row>
    <row r="307" spans="2:16" ht="15.75" customHeight="1" x14ac:dyDescent="0.25">
      <c r="B307" s="183"/>
      <c r="C307" t="s">
        <v>502</v>
      </c>
      <c r="E307" s="331"/>
      <c r="F307" s="331"/>
      <c r="G307" s="331"/>
      <c r="H307" s="331"/>
      <c r="I307" s="331"/>
      <c r="J307" s="194"/>
      <c r="K307" s="194"/>
      <c r="L307" s="194"/>
      <c r="M307" s="194"/>
    </row>
    <row r="308" spans="2:16" x14ac:dyDescent="0.25">
      <c r="C308" t="s">
        <v>503</v>
      </c>
      <c r="E308" s="331"/>
      <c r="F308" s="331"/>
      <c r="G308" s="331"/>
      <c r="H308" s="331"/>
      <c r="I308" s="331"/>
      <c r="J308" s="194"/>
      <c r="K308" s="194"/>
      <c r="L308" s="194"/>
      <c r="M308" s="194"/>
    </row>
    <row r="310" spans="2:16" ht="15.75" x14ac:dyDescent="0.25">
      <c r="B310" s="290" t="s">
        <v>263</v>
      </c>
      <c r="C310" s="290" t="s">
        <v>264</v>
      </c>
      <c r="D310" s="295" t="s">
        <v>265</v>
      </c>
      <c r="E310" s="295" t="s">
        <v>266</v>
      </c>
      <c r="F310" s="295" t="s">
        <v>265</v>
      </c>
      <c r="G310" s="295" t="s">
        <v>267</v>
      </c>
      <c r="H310" s="295" t="s">
        <v>268</v>
      </c>
      <c r="I310" s="295" t="s">
        <v>471</v>
      </c>
      <c r="J310" s="295" t="s">
        <v>270</v>
      </c>
      <c r="K310" s="386" t="s">
        <v>462</v>
      </c>
      <c r="L310" s="386" t="s">
        <v>458</v>
      </c>
      <c r="M310" s="386"/>
      <c r="N310" s="386" t="s">
        <v>459</v>
      </c>
      <c r="O310" s="386" t="s">
        <v>460</v>
      </c>
      <c r="P310" s="386" t="s">
        <v>461</v>
      </c>
    </row>
    <row r="311" spans="2:16" x14ac:dyDescent="0.25">
      <c r="B311" s="291"/>
      <c r="C311" s="278" t="s">
        <v>288</v>
      </c>
      <c r="D311" s="278">
        <v>16</v>
      </c>
      <c r="E311" s="292">
        <v>5011.53</v>
      </c>
      <c r="F311" s="278">
        <v>83</v>
      </c>
      <c r="G311" s="292">
        <v>9446.32</v>
      </c>
      <c r="H311" s="320">
        <f>D311+F311</f>
        <v>99</v>
      </c>
      <c r="I311" s="292">
        <f>E311+G311</f>
        <v>14457.849999999999</v>
      </c>
      <c r="J311" s="294">
        <f>G311/I311</f>
        <v>0.65336962273090404</v>
      </c>
      <c r="K311" s="387">
        <f>(G311*0.005)*J311</f>
        <v>30.859692672976969</v>
      </c>
      <c r="L311" s="388">
        <v>0.15</v>
      </c>
      <c r="M311" s="387"/>
      <c r="N311" s="288">
        <f>K311-M311</f>
        <v>30.859692672976969</v>
      </c>
      <c r="O311" s="264"/>
    </row>
    <row r="312" spans="2:16" x14ac:dyDescent="0.25">
      <c r="B312" s="295"/>
      <c r="C312" s="278" t="s">
        <v>289</v>
      </c>
      <c r="D312" s="278">
        <v>13</v>
      </c>
      <c r="E312" s="292">
        <v>3897.22</v>
      </c>
      <c r="F312" s="278">
        <v>77</v>
      </c>
      <c r="G312" s="292">
        <v>8104.8</v>
      </c>
      <c r="H312" s="320">
        <f t="shared" ref="H312:H314" si="52">D312+F312</f>
        <v>90</v>
      </c>
      <c r="I312" s="292">
        <f t="shared" ref="I312:I314" si="53">E312+G312</f>
        <v>12002.02</v>
      </c>
      <c r="J312" s="294">
        <f>G312/I312</f>
        <v>0.67528632680165501</v>
      </c>
      <c r="K312" s="387">
        <f>(G312*0.005)*J312</f>
        <v>27.365303107310268</v>
      </c>
      <c r="L312" s="388">
        <v>0.15</v>
      </c>
      <c r="M312" s="387"/>
      <c r="N312" s="288">
        <f t="shared" ref="N312" si="54">K312-M312</f>
        <v>27.365303107310268</v>
      </c>
    </row>
    <row r="313" spans="2:16" x14ac:dyDescent="0.25">
      <c r="B313" s="295" t="s">
        <v>271</v>
      </c>
      <c r="C313" s="278"/>
      <c r="D313" s="278"/>
      <c r="E313" s="292"/>
      <c r="F313" s="278"/>
      <c r="G313" s="292"/>
      <c r="H313" s="320">
        <f t="shared" si="52"/>
        <v>0</v>
      </c>
      <c r="I313" s="292">
        <f t="shared" si="53"/>
        <v>0</v>
      </c>
      <c r="J313" s="294"/>
      <c r="K313" s="288"/>
    </row>
    <row r="314" spans="2:16" x14ac:dyDescent="0.25">
      <c r="B314" s="295"/>
      <c r="C314" s="278"/>
      <c r="D314" s="278"/>
      <c r="E314" s="292"/>
      <c r="F314" s="278"/>
      <c r="G314" s="292"/>
      <c r="H314" s="320">
        <f t="shared" si="52"/>
        <v>0</v>
      </c>
      <c r="I314" s="292">
        <f t="shared" si="53"/>
        <v>0</v>
      </c>
      <c r="J314" s="294"/>
    </row>
    <row r="315" spans="2:16" x14ac:dyDescent="0.25">
      <c r="B315" s="295"/>
      <c r="C315" s="278"/>
      <c r="D315" s="278"/>
      <c r="E315" s="399">
        <f>SUM(E311:E313)</f>
        <v>8908.75</v>
      </c>
      <c r="F315" s="278"/>
      <c r="G315" s="399">
        <f>SUM(G311:G313)</f>
        <v>17551.12</v>
      </c>
      <c r="H315" s="278"/>
      <c r="I315" s="292"/>
      <c r="J315" s="294"/>
      <c r="M315" s="290" t="s">
        <v>463</v>
      </c>
      <c r="N315" s="288">
        <f>SUM(N311:N314)</f>
        <v>58.224995780287237</v>
      </c>
    </row>
    <row r="316" spans="2:16" ht="15.75" x14ac:dyDescent="0.25">
      <c r="B316" s="278"/>
      <c r="C316" s="290" t="s">
        <v>264</v>
      </c>
      <c r="D316" s="295" t="s">
        <v>265</v>
      </c>
      <c r="E316" s="295" t="s">
        <v>266</v>
      </c>
      <c r="F316" s="295" t="s">
        <v>265</v>
      </c>
      <c r="G316" s="295" t="s">
        <v>267</v>
      </c>
      <c r="H316" s="295" t="s">
        <v>268</v>
      </c>
      <c r="I316" s="295" t="s">
        <v>269</v>
      </c>
      <c r="J316" s="295" t="s">
        <v>270</v>
      </c>
      <c r="K316" s="386" t="s">
        <v>462</v>
      </c>
      <c r="L316" s="386" t="s">
        <v>458</v>
      </c>
      <c r="M316" s="386"/>
      <c r="N316" s="386" t="s">
        <v>459</v>
      </c>
      <c r="O316" s="386" t="s">
        <v>460</v>
      </c>
      <c r="P316" s="386" t="s">
        <v>461</v>
      </c>
    </row>
    <row r="317" spans="2:16" x14ac:dyDescent="0.25">
      <c r="B317" s="293"/>
      <c r="C317" s="278"/>
      <c r="D317" s="278"/>
      <c r="E317" s="292"/>
      <c r="F317" s="278"/>
      <c r="G317" s="292"/>
      <c r="H317" s="296"/>
      <c r="I317" s="292"/>
      <c r="J317" s="294" t="e">
        <f>G317/I317</f>
        <v>#DIV/0!</v>
      </c>
      <c r="K317" s="387" t="e">
        <f>(G317*0.005)*J317</f>
        <v>#DIV/0!</v>
      </c>
      <c r="L317" s="388">
        <v>0.15</v>
      </c>
      <c r="M317" s="387"/>
      <c r="N317" s="288" t="e">
        <f>K317-M317</f>
        <v>#DIV/0!</v>
      </c>
      <c r="O317" s="264"/>
    </row>
    <row r="318" spans="2:16" x14ac:dyDescent="0.25">
      <c r="B318" s="295"/>
      <c r="C318" s="278"/>
      <c r="D318" s="278"/>
      <c r="E318" s="292"/>
      <c r="F318" s="278"/>
      <c r="G318" s="292"/>
      <c r="H318" s="278"/>
      <c r="I318" s="292"/>
      <c r="J318" s="294" t="e">
        <f>G318/I318</f>
        <v>#DIV/0!</v>
      </c>
      <c r="K318" s="387" t="e">
        <f>(G318*0.005)*J318</f>
        <v>#DIV/0!</v>
      </c>
      <c r="L318" s="388">
        <v>0.15</v>
      </c>
      <c r="M318" s="387"/>
      <c r="N318" s="288" t="e">
        <f t="shared" ref="N318" si="55">K318-M318</f>
        <v>#DIV/0!</v>
      </c>
    </row>
    <row r="319" spans="2:16" x14ac:dyDescent="0.25">
      <c r="B319" s="295" t="s">
        <v>272</v>
      </c>
      <c r="C319" s="278"/>
      <c r="D319" s="278"/>
      <c r="E319" s="288"/>
      <c r="F319" s="278"/>
      <c r="G319" s="288"/>
      <c r="H319" s="278"/>
      <c r="I319" s="292"/>
      <c r="J319" s="289"/>
    </row>
    <row r="320" spans="2:16" x14ac:dyDescent="0.25">
      <c r="B320" s="295"/>
      <c r="C320" s="278"/>
      <c r="D320" s="278"/>
      <c r="E320" s="288"/>
      <c r="F320" s="278"/>
      <c r="G320" s="288"/>
      <c r="H320" s="278"/>
      <c r="I320" s="292"/>
      <c r="J320" s="289"/>
    </row>
    <row r="321" spans="2:16" x14ac:dyDescent="0.25">
      <c r="B321" s="295"/>
      <c r="C321" s="278"/>
      <c r="D321" s="278"/>
      <c r="E321" s="288"/>
      <c r="F321" s="278"/>
      <c r="G321" s="288"/>
      <c r="H321" s="278"/>
      <c r="I321" s="292"/>
      <c r="J321" s="289"/>
    </row>
    <row r="322" spans="2:16" x14ac:dyDescent="0.25">
      <c r="B322" s="295"/>
      <c r="C322" s="278"/>
      <c r="D322" s="278"/>
      <c r="E322" s="398">
        <f>SUM(E317:E319)</f>
        <v>0</v>
      </c>
      <c r="F322" s="278"/>
      <c r="G322" s="398">
        <f>SUM(G317:G319)</f>
        <v>0</v>
      </c>
      <c r="H322" s="278"/>
      <c r="I322" s="292"/>
      <c r="J322" s="289"/>
      <c r="M322" s="290" t="s">
        <v>463</v>
      </c>
      <c r="N322" s="288" t="e">
        <f>SUM(N317:N321)</f>
        <v>#DIV/0!</v>
      </c>
    </row>
    <row r="323" spans="2:16" ht="15.75" x14ac:dyDescent="0.25">
      <c r="C323" s="290" t="s">
        <v>264</v>
      </c>
      <c r="D323" s="295" t="s">
        <v>265</v>
      </c>
      <c r="E323" s="295" t="s">
        <v>266</v>
      </c>
      <c r="F323" s="295" t="s">
        <v>265</v>
      </c>
      <c r="G323" s="295" t="s">
        <v>267</v>
      </c>
      <c r="H323" s="295" t="s">
        <v>268</v>
      </c>
      <c r="I323" s="295" t="s">
        <v>269</v>
      </c>
      <c r="J323" s="295" t="s">
        <v>270</v>
      </c>
      <c r="K323" s="386" t="s">
        <v>462</v>
      </c>
      <c r="L323" s="386" t="s">
        <v>458</v>
      </c>
      <c r="M323" s="386"/>
      <c r="N323" s="386" t="s">
        <v>459</v>
      </c>
      <c r="O323" s="386" t="s">
        <v>460</v>
      </c>
      <c r="P323" s="386" t="s">
        <v>461</v>
      </c>
    </row>
    <row r="324" spans="2:16" x14ac:dyDescent="0.25">
      <c r="B324" s="295"/>
      <c r="C324" s="278"/>
      <c r="D324" s="278"/>
      <c r="E324" s="292"/>
      <c r="F324" s="278"/>
      <c r="G324" s="292"/>
      <c r="H324" s="296"/>
      <c r="I324" s="292"/>
      <c r="J324" s="294" t="e">
        <f>G324/I324</f>
        <v>#DIV/0!</v>
      </c>
      <c r="K324" s="387" t="e">
        <f>(G324*0.005)*J324</f>
        <v>#DIV/0!</v>
      </c>
      <c r="L324" s="388">
        <v>0.15</v>
      </c>
      <c r="M324" s="387"/>
      <c r="N324" s="288" t="e">
        <f>K324-M324</f>
        <v>#DIV/0!</v>
      </c>
      <c r="O324" s="264"/>
    </row>
    <row r="325" spans="2:16" x14ac:dyDescent="0.25">
      <c r="B325" s="295"/>
      <c r="C325" s="278"/>
      <c r="D325" s="278"/>
      <c r="E325" s="292"/>
      <c r="F325" s="278"/>
      <c r="G325" s="292"/>
      <c r="H325" s="278"/>
      <c r="I325" s="292"/>
      <c r="J325" s="294" t="e">
        <f>G325/I325</f>
        <v>#DIV/0!</v>
      </c>
      <c r="K325" s="387" t="e">
        <f>(G325*0.005)*J325</f>
        <v>#DIV/0!</v>
      </c>
      <c r="L325" s="388">
        <v>0.15</v>
      </c>
      <c r="M325" s="387"/>
      <c r="N325" s="288" t="e">
        <f t="shared" ref="N325" si="56">K325-M325</f>
        <v>#DIV/0!</v>
      </c>
    </row>
    <row r="326" spans="2:16" x14ac:dyDescent="0.25">
      <c r="B326" s="295" t="s">
        <v>273</v>
      </c>
      <c r="C326" s="278"/>
      <c r="D326" s="278"/>
      <c r="E326" s="288"/>
      <c r="F326" s="278"/>
      <c r="G326" s="288"/>
      <c r="H326" s="278"/>
      <c r="I326" s="292"/>
      <c r="J326" s="294"/>
    </row>
    <row r="327" spans="2:16" x14ac:dyDescent="0.25">
      <c r="B327" s="295"/>
      <c r="C327" s="278"/>
      <c r="D327" s="278"/>
      <c r="E327" s="304">
        <f>E324+E325</f>
        <v>0</v>
      </c>
      <c r="F327" s="278"/>
      <c r="G327" s="315">
        <f>G324+G325</f>
        <v>0</v>
      </c>
      <c r="H327" s="278"/>
      <c r="I327" s="292"/>
      <c r="J327" s="294"/>
    </row>
    <row r="328" spans="2:16" x14ac:dyDescent="0.25">
      <c r="B328" s="295"/>
      <c r="C328" s="278"/>
      <c r="D328" s="278"/>
      <c r="E328" s="292"/>
      <c r="F328" s="278"/>
      <c r="G328" s="292"/>
      <c r="H328" s="278"/>
      <c r="I328" s="292"/>
      <c r="J328" s="294"/>
    </row>
    <row r="329" spans="2:16" x14ac:dyDescent="0.25">
      <c r="B329" s="295"/>
      <c r="C329" s="278"/>
      <c r="D329" s="278"/>
      <c r="E329" s="292"/>
      <c r="F329" s="278"/>
      <c r="G329" s="292"/>
      <c r="H329" s="278"/>
      <c r="I329" s="292"/>
      <c r="J329" s="294"/>
      <c r="M329" s="290" t="s">
        <v>463</v>
      </c>
      <c r="N329" s="288" t="e">
        <f>SUM(N324:N328)</f>
        <v>#DIV/0!</v>
      </c>
    </row>
    <row r="330" spans="2:16" ht="15.75" x14ac:dyDescent="0.25">
      <c r="B330" s="278"/>
      <c r="C330" s="290" t="s">
        <v>264</v>
      </c>
      <c r="D330" s="295" t="s">
        <v>265</v>
      </c>
      <c r="E330" s="295" t="s">
        <v>266</v>
      </c>
      <c r="F330" s="295" t="s">
        <v>265</v>
      </c>
      <c r="G330" s="295" t="s">
        <v>267</v>
      </c>
      <c r="H330" s="295" t="s">
        <v>268</v>
      </c>
      <c r="I330" s="295" t="s">
        <v>269</v>
      </c>
      <c r="J330" s="295" t="s">
        <v>270</v>
      </c>
      <c r="K330" s="386" t="s">
        <v>462</v>
      </c>
      <c r="L330" s="386" t="s">
        <v>458</v>
      </c>
      <c r="M330" s="386"/>
      <c r="N330" s="386" t="s">
        <v>459</v>
      </c>
      <c r="O330" s="386" t="s">
        <v>460</v>
      </c>
      <c r="P330" s="386" t="s">
        <v>461</v>
      </c>
    </row>
    <row r="331" spans="2:16" x14ac:dyDescent="0.25">
      <c r="B331" s="293"/>
      <c r="C331" s="278" t="s">
        <v>288</v>
      </c>
      <c r="D331" s="278"/>
      <c r="E331" s="292"/>
      <c r="F331" s="278"/>
      <c r="G331" s="292"/>
      <c r="H331" s="296"/>
      <c r="I331" s="292"/>
      <c r="J331" s="294" t="e">
        <f>G331/I331</f>
        <v>#DIV/0!</v>
      </c>
      <c r="K331" s="387" t="e">
        <f>(G331*0.005)*J331</f>
        <v>#DIV/0!</v>
      </c>
      <c r="L331" s="388">
        <v>0.15</v>
      </c>
      <c r="M331" s="387"/>
      <c r="N331" s="288" t="e">
        <f>K331-M331</f>
        <v>#DIV/0!</v>
      </c>
      <c r="O331" s="264"/>
    </row>
    <row r="332" spans="2:16" x14ac:dyDescent="0.25">
      <c r="B332" s="295"/>
      <c r="C332" s="278" t="s">
        <v>289</v>
      </c>
      <c r="D332" s="278"/>
      <c r="E332" s="292"/>
      <c r="F332" s="278"/>
      <c r="G332" s="292"/>
      <c r="H332" s="278"/>
      <c r="I332" s="292"/>
      <c r="J332" s="294" t="e">
        <f>G332/I332</f>
        <v>#DIV/0!</v>
      </c>
      <c r="K332" s="387" t="e">
        <f>(G332*0.005)*J332</f>
        <v>#DIV/0!</v>
      </c>
      <c r="L332" s="388">
        <v>0.15</v>
      </c>
      <c r="M332" s="387"/>
      <c r="N332" s="288" t="e">
        <f t="shared" ref="N332" si="57">K332-M332</f>
        <v>#DIV/0!</v>
      </c>
    </row>
    <row r="333" spans="2:16" x14ac:dyDescent="0.25">
      <c r="B333" s="295" t="s">
        <v>274</v>
      </c>
      <c r="C333" s="278"/>
      <c r="D333" s="278"/>
      <c r="E333" s="292"/>
      <c r="F333" s="278"/>
      <c r="G333" s="292"/>
      <c r="H333" s="278"/>
      <c r="I333" s="292"/>
      <c r="J333" s="294"/>
    </row>
    <row r="334" spans="2:16" x14ac:dyDescent="0.25">
      <c r="B334" s="295"/>
      <c r="C334" s="278"/>
      <c r="D334" s="278"/>
      <c r="E334" s="292"/>
      <c r="F334" s="278"/>
      <c r="G334" s="292"/>
      <c r="H334" s="278"/>
      <c r="I334" s="292"/>
      <c r="J334" s="294"/>
    </row>
    <row r="335" spans="2:16" x14ac:dyDescent="0.25">
      <c r="B335" s="295"/>
      <c r="C335" s="278"/>
      <c r="D335" s="278"/>
      <c r="E335" s="304">
        <f>E331+E332</f>
        <v>0</v>
      </c>
      <c r="F335" s="278"/>
      <c r="G335" s="315">
        <f>G331+G332</f>
        <v>0</v>
      </c>
      <c r="H335" s="278"/>
      <c r="I335" s="292"/>
      <c r="J335" s="294"/>
    </row>
    <row r="336" spans="2:16" x14ac:dyDescent="0.25">
      <c r="B336" s="295"/>
      <c r="C336" s="278"/>
      <c r="D336" s="278"/>
      <c r="E336" s="292"/>
      <c r="F336" s="278"/>
      <c r="G336" s="292"/>
      <c r="H336" s="278"/>
      <c r="I336" s="292"/>
      <c r="J336" s="294"/>
      <c r="M336" s="290" t="s">
        <v>463</v>
      </c>
      <c r="N336" s="288" t="e">
        <f>SUM(N331:N335)</f>
        <v>#DIV/0!</v>
      </c>
    </row>
    <row r="337" spans="2:16" ht="15.75" x14ac:dyDescent="0.25">
      <c r="C337" s="313" t="s">
        <v>264</v>
      </c>
      <c r="D337" s="314" t="s">
        <v>265</v>
      </c>
      <c r="E337" s="314" t="s">
        <v>266</v>
      </c>
      <c r="F337" s="314" t="s">
        <v>265</v>
      </c>
      <c r="G337" s="314" t="s">
        <v>267</v>
      </c>
      <c r="H337" s="314" t="s">
        <v>268</v>
      </c>
      <c r="I337" s="314" t="s">
        <v>269</v>
      </c>
      <c r="J337" s="314" t="s">
        <v>270</v>
      </c>
      <c r="K337" s="386" t="s">
        <v>462</v>
      </c>
      <c r="L337" s="386" t="s">
        <v>458</v>
      </c>
      <c r="M337" s="386"/>
      <c r="N337" s="386" t="s">
        <v>459</v>
      </c>
      <c r="O337" s="386" t="s">
        <v>460</v>
      </c>
      <c r="P337" s="386" t="s">
        <v>461</v>
      </c>
    </row>
    <row r="338" spans="2:16" x14ac:dyDescent="0.25">
      <c r="B338" s="295"/>
      <c r="C338" s="278" t="s">
        <v>288</v>
      </c>
      <c r="D338" s="278"/>
      <c r="E338" s="292"/>
      <c r="F338" s="278"/>
      <c r="G338" s="292"/>
      <c r="H338" s="296"/>
      <c r="I338" s="292"/>
      <c r="J338" s="294" t="e">
        <f>G338/I338</f>
        <v>#DIV/0!</v>
      </c>
      <c r="K338" s="387" t="e">
        <f>(G338*0.005)*J338</f>
        <v>#DIV/0!</v>
      </c>
      <c r="L338" s="388">
        <v>0.15</v>
      </c>
      <c r="M338" s="387"/>
      <c r="N338" s="288" t="e">
        <f>K338-M338</f>
        <v>#DIV/0!</v>
      </c>
      <c r="O338" s="264"/>
    </row>
    <row r="339" spans="2:16" x14ac:dyDescent="0.25">
      <c r="B339" s="295"/>
      <c r="C339" s="278" t="s">
        <v>289</v>
      </c>
      <c r="D339" s="278"/>
      <c r="E339" s="292"/>
      <c r="F339" s="278"/>
      <c r="G339" s="292"/>
      <c r="H339" s="278"/>
      <c r="I339" s="292"/>
      <c r="J339" s="294" t="e">
        <f>G339/I339</f>
        <v>#DIV/0!</v>
      </c>
      <c r="K339" s="387" t="e">
        <f>(G339*0.005)*J339</f>
        <v>#DIV/0!</v>
      </c>
      <c r="L339" s="388">
        <v>0.15</v>
      </c>
      <c r="M339" s="387"/>
      <c r="N339" s="288" t="e">
        <f t="shared" ref="N339" si="58">K339-M339</f>
        <v>#DIV/0!</v>
      </c>
    </row>
    <row r="340" spans="2:16" x14ac:dyDescent="0.25">
      <c r="B340" s="295" t="s">
        <v>275</v>
      </c>
      <c r="C340" s="278"/>
      <c r="D340" s="278"/>
      <c r="E340" s="292"/>
      <c r="F340" s="278"/>
      <c r="G340" s="292"/>
      <c r="H340" s="278"/>
      <c r="I340" s="292"/>
      <c r="J340" s="294"/>
    </row>
    <row r="341" spans="2:16" x14ac:dyDescent="0.25">
      <c r="B341" s="295"/>
      <c r="C341" s="278"/>
      <c r="D341" s="278"/>
      <c r="E341" s="292"/>
      <c r="F341" s="278"/>
      <c r="G341" s="292"/>
      <c r="H341" s="278"/>
      <c r="I341" s="292"/>
      <c r="J341" s="294"/>
    </row>
    <row r="342" spans="2:16" x14ac:dyDescent="0.25">
      <c r="B342" s="295"/>
      <c r="C342" s="278"/>
      <c r="D342" s="278"/>
      <c r="E342" s="292"/>
      <c r="F342" s="278"/>
      <c r="G342" s="292"/>
      <c r="H342" s="278"/>
      <c r="I342" s="292"/>
      <c r="J342" s="294"/>
    </row>
    <row r="343" spans="2:16" x14ac:dyDescent="0.25">
      <c r="B343" s="295"/>
      <c r="C343" s="278"/>
      <c r="D343" s="278"/>
      <c r="E343" s="304">
        <f>SUM(E338:E339)</f>
        <v>0</v>
      </c>
      <c r="F343" s="278"/>
      <c r="G343" s="304">
        <f>SUM(G338:G339)</f>
        <v>0</v>
      </c>
      <c r="H343" s="278"/>
      <c r="I343" s="292"/>
      <c r="J343" s="294"/>
      <c r="M343" s="290" t="s">
        <v>463</v>
      </c>
      <c r="N343" s="288" t="e">
        <f>SUM(N338:N342)</f>
        <v>#DIV/0!</v>
      </c>
    </row>
    <row r="344" spans="2:16" ht="15.75" x14ac:dyDescent="0.25">
      <c r="B344" s="278"/>
      <c r="C344" s="313" t="s">
        <v>264</v>
      </c>
      <c r="D344" s="314" t="s">
        <v>265</v>
      </c>
      <c r="E344" s="314" t="s">
        <v>266</v>
      </c>
      <c r="F344" s="314" t="s">
        <v>265</v>
      </c>
      <c r="G344" s="314" t="s">
        <v>267</v>
      </c>
      <c r="H344" s="314" t="s">
        <v>268</v>
      </c>
      <c r="I344" s="314" t="s">
        <v>269</v>
      </c>
      <c r="J344" s="314" t="s">
        <v>270</v>
      </c>
      <c r="K344" s="386" t="s">
        <v>462</v>
      </c>
      <c r="L344" s="386" t="s">
        <v>458</v>
      </c>
      <c r="M344" s="386"/>
      <c r="N344" s="386" t="s">
        <v>459</v>
      </c>
      <c r="O344" s="386" t="s">
        <v>460</v>
      </c>
      <c r="P344" s="386" t="s">
        <v>461</v>
      </c>
    </row>
    <row r="345" spans="2:16" x14ac:dyDescent="0.25">
      <c r="B345" s="293"/>
      <c r="C345" s="278" t="s">
        <v>342</v>
      </c>
      <c r="D345" s="278"/>
      <c r="E345" s="292"/>
      <c r="F345" s="278"/>
      <c r="G345" s="292"/>
      <c r="H345" s="296"/>
      <c r="I345" s="292"/>
      <c r="J345" s="294" t="e">
        <f>G345/I345</f>
        <v>#DIV/0!</v>
      </c>
      <c r="K345" s="387" t="e">
        <f>(G345*0.005)*J345</f>
        <v>#DIV/0!</v>
      </c>
      <c r="L345" s="388">
        <v>0.15</v>
      </c>
      <c r="M345" s="387"/>
      <c r="N345" s="288" t="e">
        <f>K345-M345</f>
        <v>#DIV/0!</v>
      </c>
      <c r="O345" s="264"/>
    </row>
    <row r="346" spans="2:16" x14ac:dyDescent="0.25">
      <c r="B346" s="295"/>
      <c r="C346" s="278" t="s">
        <v>289</v>
      </c>
      <c r="D346" s="278"/>
      <c r="E346" s="292"/>
      <c r="F346" s="278"/>
      <c r="G346" s="292"/>
      <c r="H346" s="278"/>
      <c r="I346" s="292"/>
      <c r="J346" s="294" t="e">
        <f>G346/I346</f>
        <v>#DIV/0!</v>
      </c>
      <c r="K346" s="387" t="e">
        <f>(G346*0.005)*J346</f>
        <v>#DIV/0!</v>
      </c>
      <c r="L346" s="388">
        <v>0.15</v>
      </c>
      <c r="M346" s="387"/>
      <c r="N346" s="288" t="e">
        <f t="shared" ref="N346" si="59">K346-M346</f>
        <v>#DIV/0!</v>
      </c>
    </row>
    <row r="347" spans="2:16" x14ac:dyDescent="0.25">
      <c r="B347" s="295"/>
      <c r="C347" s="278"/>
      <c r="D347" s="278"/>
      <c r="E347" s="292"/>
      <c r="F347" s="278"/>
      <c r="G347" s="292"/>
      <c r="H347" s="278"/>
      <c r="I347" s="292"/>
      <c r="J347" s="294"/>
    </row>
    <row r="348" spans="2:16" x14ac:dyDescent="0.25">
      <c r="B348" s="295" t="s">
        <v>276</v>
      </c>
      <c r="C348" s="278"/>
      <c r="D348" s="278"/>
      <c r="E348" s="292"/>
      <c r="F348" s="278"/>
      <c r="G348" s="292"/>
      <c r="H348" s="278"/>
      <c r="I348" s="292"/>
      <c r="J348" s="294"/>
    </row>
    <row r="349" spans="2:16" x14ac:dyDescent="0.25">
      <c r="B349" s="295"/>
      <c r="C349" s="278"/>
      <c r="D349" s="278"/>
      <c r="E349" s="304">
        <f>E345+E346</f>
        <v>0</v>
      </c>
      <c r="F349" s="278"/>
      <c r="G349" s="304">
        <f>G345+G346</f>
        <v>0</v>
      </c>
      <c r="H349" s="278"/>
      <c r="I349" s="292"/>
      <c r="J349" s="294"/>
      <c r="M349" s="290" t="s">
        <v>463</v>
      </c>
      <c r="N349" s="288" t="e">
        <f>SUM(N345:N348)</f>
        <v>#DIV/0!</v>
      </c>
    </row>
    <row r="350" spans="2:16" ht="15.75" x14ac:dyDescent="0.25">
      <c r="C350" s="313" t="s">
        <v>264</v>
      </c>
      <c r="D350" s="314" t="s">
        <v>265</v>
      </c>
      <c r="E350" s="314" t="s">
        <v>266</v>
      </c>
      <c r="F350" s="314" t="s">
        <v>265</v>
      </c>
      <c r="G350" s="314" t="s">
        <v>267</v>
      </c>
      <c r="H350" s="314" t="s">
        <v>268</v>
      </c>
      <c r="I350" s="314" t="s">
        <v>269</v>
      </c>
      <c r="J350" s="314" t="s">
        <v>270</v>
      </c>
      <c r="K350" s="386" t="s">
        <v>462</v>
      </c>
      <c r="L350" s="386" t="s">
        <v>458</v>
      </c>
      <c r="M350" s="386"/>
      <c r="N350" s="386" t="s">
        <v>459</v>
      </c>
      <c r="O350" s="386" t="s">
        <v>460</v>
      </c>
      <c r="P350" s="386" t="s">
        <v>461</v>
      </c>
    </row>
    <row r="351" spans="2:16" x14ac:dyDescent="0.25">
      <c r="B351" s="295"/>
      <c r="C351" s="278" t="s">
        <v>357</v>
      </c>
      <c r="D351" s="278"/>
      <c r="E351" s="292"/>
      <c r="F351" s="278"/>
      <c r="G351" s="292"/>
      <c r="H351" s="296"/>
      <c r="I351" s="292"/>
      <c r="J351" s="294" t="e">
        <f>G351/I351</f>
        <v>#DIV/0!</v>
      </c>
      <c r="K351" s="387" t="e">
        <f>(G351*0.005)*J351</f>
        <v>#DIV/0!</v>
      </c>
      <c r="L351" s="388">
        <v>0.15</v>
      </c>
      <c r="M351" s="387"/>
      <c r="N351" s="288" t="e">
        <f>K351-M351</f>
        <v>#DIV/0!</v>
      </c>
      <c r="O351" s="264"/>
    </row>
    <row r="352" spans="2:16" x14ac:dyDescent="0.25">
      <c r="B352" s="295"/>
      <c r="C352" s="278" t="s">
        <v>289</v>
      </c>
      <c r="D352" s="278"/>
      <c r="E352" s="292"/>
      <c r="F352" s="278"/>
      <c r="G352" s="292"/>
      <c r="H352" s="278"/>
      <c r="I352" s="292"/>
      <c r="J352" s="294" t="e">
        <f>G352/I352</f>
        <v>#DIV/0!</v>
      </c>
      <c r="K352" s="387" t="e">
        <f>(G352*0.005)*J352</f>
        <v>#DIV/0!</v>
      </c>
      <c r="L352" s="388">
        <v>0.15</v>
      </c>
      <c r="M352" s="387"/>
      <c r="N352" s="288" t="e">
        <f t="shared" ref="N352" si="60">K352-M352</f>
        <v>#DIV/0!</v>
      </c>
    </row>
    <row r="353" spans="2:16" x14ac:dyDescent="0.25">
      <c r="B353" s="295" t="s">
        <v>277</v>
      </c>
      <c r="C353" s="278"/>
      <c r="D353" s="278"/>
      <c r="E353" s="292"/>
      <c r="F353" s="278"/>
      <c r="G353" s="292"/>
      <c r="H353" s="278"/>
      <c r="I353" s="292"/>
      <c r="J353" s="294"/>
    </row>
    <row r="354" spans="2:16" x14ac:dyDescent="0.25">
      <c r="B354" s="295"/>
      <c r="C354" s="278"/>
      <c r="D354" s="278"/>
      <c r="E354" s="292"/>
      <c r="F354" s="278"/>
      <c r="G354" s="292"/>
      <c r="H354" s="278"/>
      <c r="I354" s="292"/>
      <c r="J354" s="294"/>
    </row>
    <row r="355" spans="2:16" x14ac:dyDescent="0.25">
      <c r="B355" s="295"/>
      <c r="C355" s="278"/>
      <c r="D355" s="278"/>
      <c r="E355" s="304">
        <f>E351+E352</f>
        <v>0</v>
      </c>
      <c r="F355" s="278"/>
      <c r="G355" s="304">
        <f>G351+G352</f>
        <v>0</v>
      </c>
      <c r="H355" s="278"/>
      <c r="I355" s="292"/>
      <c r="J355" s="294"/>
      <c r="M355" s="290" t="s">
        <v>463</v>
      </c>
      <c r="N355" s="288" t="e">
        <f>SUM(N351:N354)</f>
        <v>#DIV/0!</v>
      </c>
    </row>
    <row r="356" spans="2:16" ht="15.75" x14ac:dyDescent="0.25">
      <c r="B356" s="278"/>
      <c r="C356" s="313" t="s">
        <v>264</v>
      </c>
      <c r="D356" s="314" t="s">
        <v>265</v>
      </c>
      <c r="E356" s="314" t="s">
        <v>266</v>
      </c>
      <c r="F356" s="314" t="s">
        <v>265</v>
      </c>
      <c r="G356" s="314" t="s">
        <v>267</v>
      </c>
      <c r="H356" s="314" t="s">
        <v>268</v>
      </c>
      <c r="I356" s="314" t="s">
        <v>269</v>
      </c>
      <c r="J356" s="314" t="s">
        <v>270</v>
      </c>
      <c r="K356" s="386" t="s">
        <v>462</v>
      </c>
      <c r="L356" s="386" t="s">
        <v>458</v>
      </c>
      <c r="M356" s="386"/>
      <c r="N356" s="386" t="s">
        <v>459</v>
      </c>
      <c r="O356" s="386" t="s">
        <v>460</v>
      </c>
      <c r="P356" s="386" t="s">
        <v>461</v>
      </c>
    </row>
    <row r="357" spans="2:16" x14ac:dyDescent="0.25">
      <c r="B357" s="293"/>
      <c r="C357" s="278" t="s">
        <v>357</v>
      </c>
      <c r="D357" s="278"/>
      <c r="E357" s="292"/>
      <c r="F357" s="278"/>
      <c r="G357" s="292"/>
      <c r="H357" s="296"/>
      <c r="I357" s="292"/>
      <c r="J357" s="294" t="e">
        <f>G357/I357</f>
        <v>#DIV/0!</v>
      </c>
      <c r="K357" s="387" t="e">
        <f>(G357*0.005)*J357</f>
        <v>#DIV/0!</v>
      </c>
      <c r="L357" s="388">
        <v>0.15</v>
      </c>
      <c r="M357" s="387"/>
      <c r="N357" s="288" t="e">
        <f>K357-M357</f>
        <v>#DIV/0!</v>
      </c>
      <c r="O357" s="264"/>
    </row>
    <row r="358" spans="2:16" x14ac:dyDescent="0.25">
      <c r="B358" s="295"/>
      <c r="C358" s="278" t="s">
        <v>289</v>
      </c>
      <c r="D358" s="278"/>
      <c r="E358" s="292"/>
      <c r="F358" s="278"/>
      <c r="G358" s="292"/>
      <c r="H358" s="278"/>
      <c r="I358" s="292"/>
      <c r="J358" s="294" t="e">
        <f>G358/I358</f>
        <v>#DIV/0!</v>
      </c>
      <c r="K358" s="387" t="e">
        <f>(G358*0.005)*J358</f>
        <v>#DIV/0!</v>
      </c>
      <c r="L358" s="388">
        <v>0.15</v>
      </c>
      <c r="M358" s="387"/>
      <c r="N358" s="288" t="e">
        <f t="shared" ref="N358" si="61">K358-M358</f>
        <v>#DIV/0!</v>
      </c>
    </row>
    <row r="359" spans="2:16" x14ac:dyDescent="0.25">
      <c r="B359" s="295"/>
      <c r="C359" s="278"/>
      <c r="D359" s="278"/>
      <c r="E359" s="292"/>
      <c r="F359" s="278"/>
      <c r="G359" s="292"/>
      <c r="H359" s="278"/>
      <c r="I359" s="292"/>
      <c r="J359" s="294"/>
    </row>
    <row r="360" spans="2:16" x14ac:dyDescent="0.25">
      <c r="B360" s="295" t="s">
        <v>278</v>
      </c>
      <c r="C360" s="278"/>
      <c r="D360" s="278"/>
      <c r="E360" s="292"/>
      <c r="F360" s="278"/>
      <c r="G360" s="292"/>
      <c r="H360" s="278"/>
      <c r="I360" s="292"/>
      <c r="J360" s="294"/>
    </row>
    <row r="361" spans="2:16" x14ac:dyDescent="0.25">
      <c r="B361" s="295"/>
      <c r="C361" s="278"/>
      <c r="D361" s="278"/>
      <c r="E361" s="304">
        <f>E357+E358</f>
        <v>0</v>
      </c>
      <c r="F361" s="278"/>
      <c r="G361" s="304">
        <f>G357+G358</f>
        <v>0</v>
      </c>
      <c r="H361" s="278"/>
      <c r="I361" s="292"/>
      <c r="J361" s="294"/>
      <c r="M361" s="290" t="s">
        <v>463</v>
      </c>
      <c r="N361" s="288" t="e">
        <f>SUM(N357:N360)</f>
        <v>#DIV/0!</v>
      </c>
    </row>
    <row r="362" spans="2:16" ht="15.75" x14ac:dyDescent="0.25">
      <c r="C362" s="313" t="s">
        <v>264</v>
      </c>
      <c r="D362" s="314" t="s">
        <v>265</v>
      </c>
      <c r="E362" s="314" t="s">
        <v>266</v>
      </c>
      <c r="F362" s="314" t="s">
        <v>265</v>
      </c>
      <c r="G362" s="314" t="s">
        <v>267</v>
      </c>
      <c r="H362" s="314" t="s">
        <v>268</v>
      </c>
      <c r="I362" s="314" t="s">
        <v>269</v>
      </c>
      <c r="J362" s="314" t="s">
        <v>270</v>
      </c>
      <c r="K362" s="386" t="s">
        <v>462</v>
      </c>
      <c r="L362" s="386" t="s">
        <v>458</v>
      </c>
      <c r="M362" s="386"/>
      <c r="N362" s="386" t="s">
        <v>459</v>
      </c>
      <c r="O362" s="386" t="s">
        <v>460</v>
      </c>
      <c r="P362" s="386" t="s">
        <v>461</v>
      </c>
    </row>
    <row r="363" spans="2:16" x14ac:dyDescent="0.25">
      <c r="B363" s="295"/>
      <c r="C363" s="278"/>
      <c r="D363" s="278"/>
      <c r="E363" s="292"/>
      <c r="F363" s="278"/>
      <c r="G363" s="292"/>
      <c r="H363" s="278"/>
      <c r="I363" s="292"/>
      <c r="J363" s="294"/>
      <c r="K363" s="387">
        <f>(G363*0.005)*J363</f>
        <v>0</v>
      </c>
      <c r="L363" s="388">
        <v>0.15</v>
      </c>
      <c r="M363" s="387"/>
      <c r="N363" s="288">
        <f>K363-M363</f>
        <v>0</v>
      </c>
      <c r="O363" s="264"/>
    </row>
    <row r="364" spans="2:16" x14ac:dyDescent="0.25">
      <c r="B364" s="295"/>
      <c r="C364" s="278"/>
      <c r="D364" s="278"/>
      <c r="E364" s="292"/>
      <c r="F364" s="278"/>
      <c r="G364" s="292"/>
      <c r="H364" s="278"/>
      <c r="I364" s="292"/>
      <c r="J364" s="294"/>
      <c r="K364" s="387">
        <f>(G364*0.005)*J364</f>
        <v>0</v>
      </c>
      <c r="L364" s="388">
        <v>0.15</v>
      </c>
      <c r="M364" s="387"/>
      <c r="N364" s="288">
        <f t="shared" ref="N364" si="62">K364-M364</f>
        <v>0</v>
      </c>
    </row>
    <row r="365" spans="2:16" x14ac:dyDescent="0.25">
      <c r="B365" s="295" t="s">
        <v>279</v>
      </c>
      <c r="C365" s="278"/>
      <c r="D365" s="278"/>
      <c r="E365" s="292"/>
      <c r="F365" s="278"/>
      <c r="G365" s="292"/>
      <c r="H365" s="278"/>
      <c r="I365" s="292"/>
      <c r="J365" s="294"/>
    </row>
    <row r="366" spans="2:16" x14ac:dyDescent="0.25">
      <c r="B366" s="295"/>
      <c r="C366" s="278"/>
      <c r="D366" s="278"/>
      <c r="E366" s="292"/>
      <c r="F366" s="278"/>
      <c r="G366" s="292"/>
      <c r="H366" s="278"/>
      <c r="I366" s="292"/>
      <c r="J366" s="294"/>
    </row>
    <row r="367" spans="2:16" x14ac:dyDescent="0.25">
      <c r="B367" s="295"/>
      <c r="C367" s="278"/>
      <c r="D367" s="278"/>
      <c r="E367" s="292"/>
      <c r="F367" s="278"/>
      <c r="G367" s="292"/>
      <c r="H367" s="278"/>
      <c r="I367" s="292"/>
      <c r="J367" s="294"/>
      <c r="M367" s="290" t="s">
        <v>463</v>
      </c>
      <c r="N367" s="288">
        <f>SUM(N363:N366)</f>
        <v>0</v>
      </c>
    </row>
    <row r="368" spans="2:16" ht="15.75" x14ac:dyDescent="0.25">
      <c r="B368" s="278"/>
      <c r="C368" s="313" t="s">
        <v>264</v>
      </c>
      <c r="D368" s="314" t="s">
        <v>265</v>
      </c>
      <c r="E368" s="314" t="s">
        <v>266</v>
      </c>
      <c r="F368" s="314" t="s">
        <v>265</v>
      </c>
      <c r="G368" s="314" t="s">
        <v>267</v>
      </c>
      <c r="H368" s="314" t="s">
        <v>268</v>
      </c>
      <c r="I368" s="314" t="s">
        <v>269</v>
      </c>
      <c r="J368" s="314" t="s">
        <v>270</v>
      </c>
      <c r="K368" s="386" t="s">
        <v>462</v>
      </c>
      <c r="L368" s="386" t="s">
        <v>458</v>
      </c>
      <c r="M368" s="386"/>
      <c r="N368" s="386" t="s">
        <v>459</v>
      </c>
      <c r="O368" s="386" t="s">
        <v>460</v>
      </c>
      <c r="P368" s="386" t="s">
        <v>461</v>
      </c>
    </row>
    <row r="369" spans="2:16" x14ac:dyDescent="0.25">
      <c r="B369" s="293"/>
      <c r="C369" s="278"/>
      <c r="D369" s="278"/>
      <c r="E369" s="292"/>
      <c r="F369" s="278"/>
      <c r="G369" s="292"/>
      <c r="H369" s="278"/>
      <c r="I369" s="292"/>
      <c r="J369" s="294"/>
      <c r="K369" s="387">
        <f>(G369*0.005)*J369</f>
        <v>0</v>
      </c>
      <c r="L369" s="388">
        <v>0.15</v>
      </c>
      <c r="M369" s="387"/>
      <c r="N369" s="288">
        <f>K369-M369</f>
        <v>0</v>
      </c>
      <c r="O369" s="264"/>
    </row>
    <row r="370" spans="2:16" x14ac:dyDescent="0.25">
      <c r="B370" s="295"/>
      <c r="C370" s="278" t="s">
        <v>288</v>
      </c>
      <c r="D370" s="278"/>
      <c r="E370" s="292"/>
      <c r="F370" s="278"/>
      <c r="G370" s="292"/>
      <c r="H370" s="278"/>
      <c r="I370" s="292"/>
      <c r="J370" s="294" t="e">
        <f>G370/I370</f>
        <v>#DIV/0!</v>
      </c>
      <c r="K370" s="387" t="e">
        <f>(G370*0.005)*J370</f>
        <v>#DIV/0!</v>
      </c>
      <c r="L370" s="388">
        <v>0.15</v>
      </c>
      <c r="M370" s="387"/>
      <c r="N370" s="288" t="e">
        <f t="shared" ref="N370:N371" si="63">K370-M370</f>
        <v>#DIV/0!</v>
      </c>
    </row>
    <row r="371" spans="2:16" x14ac:dyDescent="0.25">
      <c r="B371" s="295" t="s">
        <v>280</v>
      </c>
      <c r="C371" s="278" t="s">
        <v>414</v>
      </c>
      <c r="D371" s="278"/>
      <c r="E371" s="292"/>
      <c r="F371" s="278"/>
      <c r="G371" s="292"/>
      <c r="H371" s="278"/>
      <c r="I371" s="292"/>
      <c r="J371" s="294" t="e">
        <f>G371/I371</f>
        <v>#DIV/0!</v>
      </c>
      <c r="K371" s="387" t="e">
        <f>(G371*0.005)*J371</f>
        <v>#DIV/0!</v>
      </c>
      <c r="L371" s="388">
        <v>0.15</v>
      </c>
      <c r="M371" s="387"/>
      <c r="N371" s="288" t="e">
        <f t="shared" si="63"/>
        <v>#DIV/0!</v>
      </c>
    </row>
    <row r="372" spans="2:16" x14ac:dyDescent="0.25">
      <c r="B372" s="295"/>
      <c r="C372" s="278"/>
      <c r="D372" s="278"/>
      <c r="E372" s="292"/>
      <c r="F372" s="278"/>
      <c r="G372" s="292"/>
      <c r="H372" s="278"/>
      <c r="I372" s="292"/>
      <c r="J372" s="294"/>
    </row>
    <row r="373" spans="2:16" x14ac:dyDescent="0.25">
      <c r="B373" s="295"/>
      <c r="C373" s="278"/>
      <c r="D373" s="278"/>
      <c r="E373" s="304">
        <f>E369+E370</f>
        <v>0</v>
      </c>
      <c r="F373" s="278"/>
      <c r="G373" s="304">
        <f>G369+G370</f>
        <v>0</v>
      </c>
      <c r="H373" s="278"/>
      <c r="I373" s="292"/>
      <c r="J373" s="294"/>
      <c r="M373" s="290" t="s">
        <v>463</v>
      </c>
      <c r="N373" s="288" t="e">
        <f>SUM(N369:N372)</f>
        <v>#DIV/0!</v>
      </c>
    </row>
    <row r="374" spans="2:16" ht="15.75" x14ac:dyDescent="0.25">
      <c r="C374" s="313" t="s">
        <v>264</v>
      </c>
      <c r="D374" s="314" t="s">
        <v>265</v>
      </c>
      <c r="E374" s="314" t="s">
        <v>266</v>
      </c>
      <c r="F374" s="314" t="s">
        <v>265</v>
      </c>
      <c r="G374" s="314" t="s">
        <v>267</v>
      </c>
      <c r="H374" s="314" t="s">
        <v>268</v>
      </c>
      <c r="I374" s="314" t="s">
        <v>269</v>
      </c>
      <c r="J374" s="314" t="s">
        <v>270</v>
      </c>
      <c r="K374" s="386" t="s">
        <v>462</v>
      </c>
      <c r="L374" s="386" t="s">
        <v>458</v>
      </c>
      <c r="M374" s="386"/>
      <c r="N374" s="386" t="s">
        <v>459</v>
      </c>
      <c r="O374" s="386" t="s">
        <v>460</v>
      </c>
      <c r="P374" s="386" t="s">
        <v>461</v>
      </c>
    </row>
    <row r="375" spans="2:16" x14ac:dyDescent="0.25">
      <c r="B375" s="295"/>
      <c r="C375" s="278"/>
      <c r="D375" s="278"/>
      <c r="E375" s="292"/>
      <c r="F375" s="278"/>
      <c r="G375" s="292"/>
      <c r="H375" s="278"/>
      <c r="I375" s="292"/>
      <c r="J375" s="294"/>
      <c r="K375" s="387">
        <f>(G375*0.005)*J375</f>
        <v>0</v>
      </c>
      <c r="L375" s="388">
        <v>0.15</v>
      </c>
      <c r="M375" s="387"/>
      <c r="N375" s="288">
        <f>K375-M375</f>
        <v>0</v>
      </c>
      <c r="O375" s="264"/>
    </row>
    <row r="376" spans="2:16" x14ac:dyDescent="0.25">
      <c r="B376" s="295"/>
      <c r="C376" s="278" t="s">
        <v>288</v>
      </c>
      <c r="D376" s="278"/>
      <c r="E376" s="292"/>
      <c r="F376" s="278"/>
      <c r="G376" s="292"/>
      <c r="H376" s="278"/>
      <c r="I376" s="292"/>
      <c r="J376" s="294" t="e">
        <f>G376/I376</f>
        <v>#DIV/0!</v>
      </c>
      <c r="K376" s="387" t="e">
        <f>(G376*0.005)*J376</f>
        <v>#DIV/0!</v>
      </c>
      <c r="L376" s="388">
        <v>0.15</v>
      </c>
      <c r="M376" s="387"/>
      <c r="N376" s="288" t="e">
        <f t="shared" ref="N376:N377" si="64">K376-M376</f>
        <v>#DIV/0!</v>
      </c>
    </row>
    <row r="377" spans="2:16" x14ac:dyDescent="0.25">
      <c r="B377" s="295" t="s">
        <v>281</v>
      </c>
      <c r="C377" s="278" t="s">
        <v>414</v>
      </c>
      <c r="D377" s="278"/>
      <c r="E377" s="292"/>
      <c r="F377" s="278"/>
      <c r="G377" s="292"/>
      <c r="H377" s="278"/>
      <c r="I377" s="292"/>
      <c r="J377" s="294" t="e">
        <f>G377/I377</f>
        <v>#DIV/0!</v>
      </c>
      <c r="K377" s="387" t="e">
        <f>(G377*0.005)*J377</f>
        <v>#DIV/0!</v>
      </c>
      <c r="L377" s="388">
        <v>0.15</v>
      </c>
      <c r="M377" s="387"/>
      <c r="N377" s="288" t="e">
        <f t="shared" si="64"/>
        <v>#DIV/0!</v>
      </c>
    </row>
    <row r="378" spans="2:16" x14ac:dyDescent="0.25">
      <c r="B378" s="295"/>
      <c r="C378" s="278"/>
      <c r="D378" s="278"/>
      <c r="E378" s="292"/>
      <c r="F378" s="278"/>
      <c r="G378" s="292"/>
      <c r="H378" s="278"/>
      <c r="I378" s="292"/>
      <c r="J378" s="294"/>
    </row>
    <row r="379" spans="2:16" x14ac:dyDescent="0.25">
      <c r="B379" s="295"/>
      <c r="C379" s="278"/>
      <c r="D379" s="278"/>
      <c r="E379" s="304">
        <f>E375+E376</f>
        <v>0</v>
      </c>
      <c r="F379" s="278"/>
      <c r="G379" s="304">
        <f>G375+G376</f>
        <v>0</v>
      </c>
      <c r="H379" s="278"/>
      <c r="I379" s="292"/>
      <c r="J379" s="294"/>
      <c r="M379" s="290" t="s">
        <v>463</v>
      </c>
      <c r="N379" s="288" t="e">
        <f>SUM(N375:N378)</f>
        <v>#DIV/0!</v>
      </c>
    </row>
    <row r="380" spans="2:16" ht="15.75" x14ac:dyDescent="0.25">
      <c r="B380" s="278"/>
      <c r="C380" s="313" t="s">
        <v>264</v>
      </c>
      <c r="D380" s="314" t="s">
        <v>265</v>
      </c>
      <c r="E380" s="314" t="s">
        <v>266</v>
      </c>
      <c r="F380" s="314" t="s">
        <v>265</v>
      </c>
      <c r="G380" s="314" t="s">
        <v>267</v>
      </c>
      <c r="H380" s="314" t="s">
        <v>268</v>
      </c>
      <c r="I380" s="314" t="s">
        <v>269</v>
      </c>
      <c r="J380" s="314" t="s">
        <v>270</v>
      </c>
      <c r="K380" s="386" t="s">
        <v>462</v>
      </c>
      <c r="L380" s="386" t="s">
        <v>458</v>
      </c>
      <c r="M380" s="386"/>
      <c r="N380" s="386" t="s">
        <v>459</v>
      </c>
      <c r="O380" s="386" t="s">
        <v>460</v>
      </c>
      <c r="P380" s="386" t="s">
        <v>461</v>
      </c>
    </row>
    <row r="381" spans="2:16" x14ac:dyDescent="0.25">
      <c r="B381" s="293"/>
      <c r="C381" s="278"/>
      <c r="D381" s="278"/>
      <c r="E381" s="292"/>
      <c r="F381" s="278"/>
      <c r="G381" s="292"/>
      <c r="H381" s="278"/>
      <c r="I381" s="292"/>
      <c r="J381" s="294"/>
      <c r="K381" s="387">
        <f>(G381*0.005)*J381</f>
        <v>0</v>
      </c>
      <c r="L381" s="388">
        <v>0.15</v>
      </c>
      <c r="M381" s="387"/>
      <c r="N381" s="288">
        <f>K381-M381</f>
        <v>0</v>
      </c>
      <c r="O381" s="264"/>
    </row>
    <row r="382" spans="2:16" x14ac:dyDescent="0.25">
      <c r="B382" s="295"/>
      <c r="C382" s="278" t="s">
        <v>288</v>
      </c>
      <c r="D382" s="278"/>
      <c r="E382" s="292"/>
      <c r="F382" s="278"/>
      <c r="G382" s="292"/>
      <c r="H382" s="278"/>
      <c r="I382" s="292"/>
      <c r="J382" s="294" t="e">
        <f>G382/I382</f>
        <v>#DIV/0!</v>
      </c>
      <c r="K382" s="387" t="e">
        <f>(G382*0.005)*J382</f>
        <v>#DIV/0!</v>
      </c>
      <c r="L382" s="388">
        <v>0.15</v>
      </c>
      <c r="M382" s="387"/>
      <c r="N382" s="288" t="e">
        <f t="shared" ref="N382:N383" si="65">K382-M382</f>
        <v>#DIV/0!</v>
      </c>
    </row>
    <row r="383" spans="2:16" x14ac:dyDescent="0.25">
      <c r="B383" s="295" t="s">
        <v>282</v>
      </c>
      <c r="C383" s="278" t="s">
        <v>414</v>
      </c>
      <c r="D383" s="278"/>
      <c r="E383" s="292"/>
      <c r="F383" s="278"/>
      <c r="G383" s="292"/>
      <c r="H383" s="278"/>
      <c r="I383" s="292"/>
      <c r="J383" s="294" t="e">
        <f>G383/I383</f>
        <v>#DIV/0!</v>
      </c>
      <c r="K383" s="387" t="e">
        <f>(G383*0.005)*J383</f>
        <v>#DIV/0!</v>
      </c>
      <c r="L383" s="388">
        <v>0.15</v>
      </c>
      <c r="M383" s="387"/>
      <c r="N383" s="288" t="e">
        <f t="shared" si="65"/>
        <v>#DIV/0!</v>
      </c>
    </row>
    <row r="384" spans="2:16" x14ac:dyDescent="0.25">
      <c r="B384" s="295"/>
      <c r="C384" s="278"/>
      <c r="D384" s="278"/>
      <c r="E384" s="292"/>
      <c r="F384" s="278"/>
      <c r="G384" s="292"/>
      <c r="H384" s="278"/>
      <c r="I384" s="292"/>
      <c r="J384" s="294"/>
    </row>
    <row r="385" spans="2:14" x14ac:dyDescent="0.25">
      <c r="B385" s="295"/>
      <c r="C385" s="278"/>
      <c r="D385" s="278"/>
      <c r="E385" s="304">
        <f>E381+E382</f>
        <v>0</v>
      </c>
      <c r="F385" s="278"/>
      <c r="G385" s="304">
        <f>G381+G382</f>
        <v>0</v>
      </c>
      <c r="H385" s="278"/>
      <c r="I385" s="292"/>
      <c r="J385" s="294"/>
      <c r="M385" s="290" t="s">
        <v>463</v>
      </c>
      <c r="N385" s="288" t="e">
        <f>SUM(N381:N384)</f>
        <v>#DIV/0!</v>
      </c>
    </row>
    <row r="386" spans="2:14" x14ac:dyDescent="0.25">
      <c r="C386" s="291"/>
      <c r="D386" s="291"/>
      <c r="E386" s="291"/>
      <c r="F386" s="291"/>
      <c r="M386" s="290" t="s">
        <v>467</v>
      </c>
      <c r="N386" s="395" t="e">
        <f>SUM(N315+N322+N329+N336+N343+N349+N355+N361+N373+N379)</f>
        <v>#DIV/0!</v>
      </c>
    </row>
  </sheetData>
  <mergeCells count="1">
    <mergeCell ref="B1:N2"/>
  </mergeCells>
  <pageMargins left="0.75" right="0.75" top="1" bottom="1" header="0.5" footer="0.5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6A502-FDAD-490C-8D57-62DC0E290A51}">
  <dimension ref="B2:P24"/>
  <sheetViews>
    <sheetView zoomScale="70" zoomScaleNormal="70" workbookViewId="0">
      <selection activeCell="G20" sqref="G20"/>
    </sheetView>
  </sheetViews>
  <sheetFormatPr defaultRowHeight="15" x14ac:dyDescent="0.25"/>
  <cols>
    <col min="2" max="2" width="23" customWidth="1"/>
    <col min="3" max="6" width="17" bestFit="1" customWidth="1"/>
    <col min="7" max="7" width="18.42578125" bestFit="1" customWidth="1"/>
    <col min="8" max="9" width="17" bestFit="1" customWidth="1"/>
    <col min="10" max="10" width="18.42578125" bestFit="1" customWidth="1"/>
    <col min="11" max="11" width="17.140625" bestFit="1" customWidth="1"/>
    <col min="12" max="13" width="18.42578125" bestFit="1" customWidth="1"/>
    <col min="14" max="14" width="16.85546875" bestFit="1" customWidth="1"/>
    <col min="15" max="15" width="20.7109375" bestFit="1" customWidth="1"/>
  </cols>
  <sheetData>
    <row r="2" spans="2:16" ht="19.5" customHeight="1" x14ac:dyDescent="0.25">
      <c r="B2" s="40">
        <v>2025</v>
      </c>
      <c r="C2" s="2" t="s">
        <v>0</v>
      </c>
      <c r="D2" s="2" t="s">
        <v>1</v>
      </c>
      <c r="E2" s="3" t="s">
        <v>2</v>
      </c>
      <c r="F2" s="3" t="s">
        <v>3</v>
      </c>
      <c r="G2" s="3" t="s">
        <v>4</v>
      </c>
      <c r="H2" s="2" t="s">
        <v>5</v>
      </c>
      <c r="I2" s="2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2" t="s">
        <v>11</v>
      </c>
    </row>
    <row r="3" spans="2:16" ht="19.5" customHeight="1" x14ac:dyDescent="0.3">
      <c r="B3" s="5" t="s">
        <v>259</v>
      </c>
      <c r="C3" s="6"/>
      <c r="D3" s="6"/>
      <c r="E3" s="6"/>
      <c r="F3" s="6"/>
      <c r="G3" s="6"/>
      <c r="H3" s="6"/>
      <c r="I3" s="6"/>
      <c r="J3" s="6">
        <v>12000</v>
      </c>
      <c r="K3" s="6">
        <v>12000</v>
      </c>
      <c r="L3" s="6">
        <v>12000</v>
      </c>
      <c r="M3" s="6">
        <v>12000</v>
      </c>
      <c r="N3" s="6">
        <v>12000</v>
      </c>
      <c r="O3" s="7">
        <f>SUM(C3:N3)</f>
        <v>60000</v>
      </c>
      <c r="P3" s="97"/>
    </row>
    <row r="4" spans="2:16" ht="15.75" customHeight="1" x14ac:dyDescent="0.25">
      <c r="B4" s="154" t="s">
        <v>13</v>
      </c>
      <c r="C4" s="4"/>
      <c r="D4" s="4"/>
      <c r="E4" s="185"/>
      <c r="F4" s="4"/>
      <c r="G4" s="4"/>
      <c r="H4" s="4"/>
      <c r="I4" s="4"/>
      <c r="J4" s="252"/>
      <c r="K4" s="252">
        <v>189</v>
      </c>
      <c r="L4" s="252"/>
      <c r="M4" s="252">
        <v>7185.99</v>
      </c>
      <c r="N4" s="252"/>
      <c r="O4" s="252"/>
    </row>
    <row r="5" spans="2:16" s="11" customFormat="1" ht="15.75" customHeight="1" x14ac:dyDescent="0.35">
      <c r="B5" s="155" t="s">
        <v>14</v>
      </c>
      <c r="C5" s="12"/>
      <c r="D5" s="12"/>
      <c r="E5" s="185"/>
      <c r="F5" s="198"/>
      <c r="G5" s="12"/>
      <c r="H5" s="12"/>
      <c r="I5" s="12"/>
      <c r="J5" s="12"/>
      <c r="K5" s="349">
        <v>6881.3</v>
      </c>
      <c r="L5" s="12"/>
      <c r="M5" s="12">
        <v>5095</v>
      </c>
      <c r="N5" s="12"/>
      <c r="O5" s="12"/>
    </row>
    <row r="6" spans="2:16" ht="18.75" customHeight="1" x14ac:dyDescent="0.3">
      <c r="B6" s="271" t="s">
        <v>260</v>
      </c>
      <c r="C6" s="7"/>
      <c r="D6" s="7"/>
      <c r="E6" s="343"/>
      <c r="F6" s="7"/>
      <c r="G6" s="329">
        <v>6697.07</v>
      </c>
      <c r="H6" s="329">
        <v>7729.92</v>
      </c>
      <c r="I6" s="7">
        <f>2584.33+7750</f>
        <v>10334.33</v>
      </c>
      <c r="J6" s="7">
        <v>7206</v>
      </c>
      <c r="K6" s="7">
        <v>7050</v>
      </c>
      <c r="L6" s="7">
        <v>7317</v>
      </c>
      <c r="M6" s="7">
        <v>12292</v>
      </c>
      <c r="N6" s="7"/>
      <c r="O6" s="7">
        <f>SUM(C6:N6)</f>
        <v>58626.32</v>
      </c>
    </row>
    <row r="10" spans="2:16" ht="15.75" x14ac:dyDescent="0.25">
      <c r="C10" s="328"/>
      <c r="D10" s="278"/>
      <c r="E10" s="297"/>
      <c r="F10" s="278"/>
      <c r="H10" s="329"/>
      <c r="I10" s="329"/>
    </row>
    <row r="11" spans="2:16" x14ac:dyDescent="0.25">
      <c r="C11" s="23"/>
      <c r="D11" s="345"/>
      <c r="E11" s="346"/>
      <c r="F11" s="235"/>
      <c r="G11" s="195"/>
      <c r="H11" s="212"/>
      <c r="I11" s="212"/>
    </row>
    <row r="12" spans="2:16" x14ac:dyDescent="0.25">
      <c r="D12" s="243"/>
      <c r="E12" s="194"/>
      <c r="F12" s="323"/>
      <c r="G12" s="195"/>
      <c r="H12" s="212"/>
      <c r="I12" s="212"/>
      <c r="J12" s="333"/>
      <c r="K12" s="212"/>
      <c r="L12" s="212"/>
      <c r="M12" s="212"/>
    </row>
    <row r="13" spans="2:16" x14ac:dyDescent="0.25">
      <c r="C13" s="23"/>
      <c r="D13" s="244"/>
      <c r="E13" s="194"/>
      <c r="F13" s="323"/>
      <c r="G13" s="195"/>
      <c r="H13" s="212"/>
      <c r="I13" s="212"/>
      <c r="J13" s="212"/>
      <c r="K13" s="212"/>
      <c r="L13" s="212"/>
      <c r="M13" s="212"/>
      <c r="N13" s="80"/>
    </row>
    <row r="14" spans="2:16" x14ac:dyDescent="0.25">
      <c r="D14" s="244"/>
      <c r="E14" s="194"/>
      <c r="F14" s="323"/>
      <c r="G14" s="194"/>
      <c r="H14" s="212"/>
      <c r="I14" s="194"/>
      <c r="J14" s="212"/>
      <c r="K14" s="194"/>
      <c r="L14" s="212"/>
      <c r="M14" s="194"/>
    </row>
    <row r="15" spans="2:16" ht="18.75" x14ac:dyDescent="0.25">
      <c r="C15" s="156"/>
      <c r="D15" s="243"/>
      <c r="E15" s="194"/>
      <c r="F15" s="323"/>
      <c r="G15" s="347"/>
      <c r="H15" s="212"/>
      <c r="I15" s="194"/>
      <c r="J15" s="212"/>
      <c r="K15" s="194"/>
      <c r="L15" s="212"/>
      <c r="M15" s="194"/>
    </row>
    <row r="16" spans="2:16" x14ac:dyDescent="0.25">
      <c r="C16" s="36"/>
      <c r="D16" s="195"/>
      <c r="E16" s="195"/>
      <c r="F16" s="323"/>
      <c r="G16" s="194"/>
      <c r="H16" s="212"/>
      <c r="I16" s="212"/>
      <c r="J16" s="212"/>
      <c r="K16" s="212"/>
      <c r="L16" s="212"/>
      <c r="M16" s="212"/>
    </row>
    <row r="17" spans="3:14" x14ac:dyDescent="0.25">
      <c r="C17" s="36"/>
      <c r="D17" s="195"/>
      <c r="E17" s="195"/>
      <c r="F17" s="323"/>
      <c r="G17" s="194"/>
      <c r="H17" s="194"/>
      <c r="I17" s="347"/>
      <c r="J17" s="212"/>
      <c r="K17" s="194"/>
      <c r="L17" s="212"/>
      <c r="M17" s="212"/>
    </row>
    <row r="18" spans="3:14" x14ac:dyDescent="0.25">
      <c r="C18" s="36"/>
      <c r="D18" s="195"/>
      <c r="E18" s="195"/>
      <c r="F18" s="323"/>
      <c r="G18" s="194"/>
      <c r="H18" s="194"/>
      <c r="I18" s="194"/>
      <c r="J18" s="212"/>
      <c r="K18" s="194"/>
      <c r="L18" s="212"/>
      <c r="M18" s="212"/>
    </row>
    <row r="19" spans="3:14" x14ac:dyDescent="0.25">
      <c r="C19" s="36"/>
      <c r="D19" s="195"/>
      <c r="E19" s="195"/>
      <c r="F19" s="323"/>
      <c r="G19" s="194"/>
      <c r="H19" s="194"/>
      <c r="I19" s="194"/>
      <c r="J19" s="212"/>
      <c r="K19" s="194"/>
      <c r="L19" s="212"/>
      <c r="M19" s="212"/>
    </row>
    <row r="20" spans="3:14" x14ac:dyDescent="0.25">
      <c r="C20" s="36"/>
      <c r="D20" s="195"/>
      <c r="E20" s="195"/>
      <c r="F20" s="323"/>
      <c r="G20" s="194"/>
      <c r="H20" s="194"/>
      <c r="I20" s="194"/>
      <c r="J20" s="212"/>
      <c r="K20" s="194"/>
      <c r="L20" s="212"/>
      <c r="M20" s="212"/>
    </row>
    <row r="21" spans="3:14" x14ac:dyDescent="0.25">
      <c r="D21" s="195"/>
      <c r="E21" s="195"/>
      <c r="F21" s="323"/>
      <c r="G21" s="194"/>
      <c r="H21" s="194"/>
      <c r="I21" s="194"/>
      <c r="J21" s="212"/>
      <c r="K21" s="194"/>
      <c r="L21" s="212"/>
      <c r="M21" s="212"/>
    </row>
    <row r="22" spans="3:14" x14ac:dyDescent="0.25">
      <c r="D22" s="195"/>
      <c r="E22" s="195"/>
      <c r="G22" s="194"/>
      <c r="H22" s="194"/>
      <c r="I22" s="194"/>
      <c r="J22" s="212"/>
      <c r="K22" s="194"/>
      <c r="L22" s="212"/>
      <c r="M22" s="212"/>
    </row>
    <row r="23" spans="3:14" x14ac:dyDescent="0.25">
      <c r="J23" s="212"/>
      <c r="K23" s="194"/>
      <c r="L23" s="212"/>
    </row>
    <row r="24" spans="3:14" x14ac:dyDescent="0.25">
      <c r="C24" s="348"/>
      <c r="D24" s="348"/>
      <c r="E24" s="340"/>
      <c r="F24" s="340"/>
      <c r="G24" s="340"/>
      <c r="H24" s="340"/>
      <c r="I24" s="340"/>
      <c r="J24" s="340"/>
      <c r="K24" s="340"/>
      <c r="L24" s="340"/>
      <c r="M24" s="340"/>
      <c r="N24" s="34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25"/>
  <sheetViews>
    <sheetView topLeftCell="A7" zoomScale="85" zoomScaleNormal="85" workbookViewId="0">
      <pane xSplit="2" topLeftCell="C1" activePane="topRight" state="frozen"/>
      <selection activeCell="A70" sqref="A70"/>
      <selection pane="topRight" activeCell="C17" sqref="C17"/>
    </sheetView>
  </sheetViews>
  <sheetFormatPr defaultColWidth="14.5703125" defaultRowHeight="15" x14ac:dyDescent="0.25"/>
  <cols>
    <col min="1" max="1" width="11.5703125" customWidth="1"/>
    <col min="2" max="2" width="33.7109375" customWidth="1"/>
    <col min="3" max="3" width="22.7109375" customWidth="1"/>
    <col min="4" max="4" width="24.28515625" customWidth="1"/>
    <col min="5" max="5" width="23.140625" customWidth="1"/>
    <col min="6" max="6" width="22.5703125" customWidth="1"/>
    <col min="7" max="7" width="23.42578125" customWidth="1"/>
    <col min="8" max="8" width="20.85546875" customWidth="1"/>
    <col min="9" max="9" width="22.140625" customWidth="1"/>
    <col min="10" max="10" width="21.28515625" customWidth="1"/>
    <col min="11" max="12" width="21" customWidth="1"/>
    <col min="13" max="13" width="21.85546875" customWidth="1"/>
    <col min="14" max="14" width="21.140625" customWidth="1"/>
    <col min="15" max="15" width="24.85546875" customWidth="1"/>
    <col min="16" max="16" width="14.7109375" customWidth="1"/>
    <col min="17" max="17" width="15.5703125" customWidth="1"/>
  </cols>
  <sheetData>
    <row r="2" spans="2:21" s="25" customFormat="1" ht="21.75" customHeight="1" x14ac:dyDescent="0.25">
      <c r="B2" s="26">
        <v>2025</v>
      </c>
      <c r="C2" s="27" t="s">
        <v>0</v>
      </c>
      <c r="D2" s="27" t="s">
        <v>1</v>
      </c>
      <c r="E2" s="28" t="s">
        <v>2</v>
      </c>
      <c r="F2" s="28" t="s">
        <v>3</v>
      </c>
      <c r="G2" s="28" t="s">
        <v>4</v>
      </c>
      <c r="H2" s="27" t="s">
        <v>5</v>
      </c>
      <c r="I2" s="27" t="s">
        <v>6</v>
      </c>
      <c r="J2" s="28" t="s">
        <v>7</v>
      </c>
      <c r="K2" s="28" t="s">
        <v>8</v>
      </c>
      <c r="L2" s="28" t="s">
        <v>9</v>
      </c>
      <c r="M2" s="28" t="s">
        <v>10</v>
      </c>
      <c r="N2" s="27" t="s">
        <v>11</v>
      </c>
      <c r="O2" s="29"/>
      <c r="Q2" s="30"/>
    </row>
    <row r="3" spans="2:21" ht="18.75" x14ac:dyDescent="0.3">
      <c r="B3" s="103" t="s">
        <v>259</v>
      </c>
      <c r="C3" s="6">
        <f>'1. SANTA LUZ'!C162+'2. RIAÇHÃO'!C3+'3. COITÉ '!C156+'4. VALENTE '!C138</f>
        <v>110550.99649999999</v>
      </c>
      <c r="D3" s="6">
        <f>'1. SANTA LUZ'!D162+'2. RIAÇHÃO'!D3+'3. COITÉ '!D156+'4. VALENTE '!D138</f>
        <v>114972.44749999999</v>
      </c>
      <c r="E3" s="6">
        <f>'1. SANTA LUZ'!E162+'2. RIAÇHÃO'!E3+'3. COITÉ '!E156+'4. VALENTE '!E138</f>
        <v>113267.0895</v>
      </c>
      <c r="F3" s="6">
        <f>'1. SANTA LUZ'!F162+'2. RIAÇHÃO'!F3+'3. COITÉ '!F156+'4. VALENTE '!F138</f>
        <v>130415.7055</v>
      </c>
      <c r="G3" s="6">
        <f>'1. SANTA LUZ'!G162+'2. RIAÇHÃO'!G3+'3. COITÉ '!G156+'4. VALENTE '!G138</f>
        <v>141228.5925</v>
      </c>
      <c r="H3" s="6">
        <f>'1. SANTA LUZ'!H162+'2. RIAÇHÃO'!H3+'3. COITÉ '!H156+'4. VALENTE '!H138</f>
        <v>120000.17849999999</v>
      </c>
      <c r="I3" s="6">
        <f>'1. SANTA LUZ'!I162+'2. RIAÇHÃO'!I3+'3. COITÉ '!I156+'4. VALENTE '!I138</f>
        <v>128841.114</v>
      </c>
      <c r="J3" s="6">
        <f>'1. SANTA LUZ'!J162+'2. RIAÇHÃO'!J3+'3. COITÉ '!J156+'4. VALENTE '!J138</f>
        <v>150641.62150000001</v>
      </c>
      <c r="K3" s="6">
        <f>'1. SANTA LUZ'!K162+'2. RIAÇHÃO'!K3+'3. COITÉ '!K156+'4. VALENTE '!K138</f>
        <v>130609.9895</v>
      </c>
      <c r="L3" s="6">
        <f>'1. SANTA LUZ'!L162+'2. RIAÇHÃO'!L3+'3. COITÉ '!L156+'4. VALENTE '!L138</f>
        <v>163926.04199999999</v>
      </c>
      <c r="M3" s="6">
        <f>'1. SANTA LUZ'!M162+'2. RIAÇHÃO'!M3+'3. COITÉ '!M156+'4. VALENTE '!M138</f>
        <v>163230.23449999999</v>
      </c>
      <c r="N3" s="6">
        <f>'1. SANTA LUZ'!N162+'2. RIAÇHÃO'!N3+'3. COITÉ '!N156+'4. VALENTE '!N138</f>
        <v>119299.636</v>
      </c>
      <c r="O3" s="7">
        <f>SUM(C3:N3)</f>
        <v>1586983.6475</v>
      </c>
      <c r="P3" s="98"/>
    </row>
    <row r="4" spans="2:21" ht="18.75" x14ac:dyDescent="0.3">
      <c r="B4" s="154" t="s">
        <v>13</v>
      </c>
      <c r="C4" s="6">
        <f>'1. SANTA LUZ'!C163+'2. RIAÇHÃO'!C4+'3. COITÉ '!C157+'4. VALENTE '!C139</f>
        <v>51873.049999999996</v>
      </c>
      <c r="D4" s="6">
        <f>'1. SANTA LUZ'!D163+'2. RIAÇHÃO'!D4+'3. COITÉ '!D157+'4. VALENTE '!D139</f>
        <v>48786.799999999996</v>
      </c>
      <c r="E4" s="6">
        <f>'1. SANTA LUZ'!E163+'2. RIAÇHÃO'!E4+'3. COITÉ '!E157+'4. VALENTE '!E139</f>
        <v>56800.98</v>
      </c>
      <c r="F4" s="6">
        <f>'1. SANTA LUZ'!F163+'2. RIAÇHÃO'!F4+'3. COITÉ '!F157+'4. VALENTE '!F139</f>
        <v>53718.63</v>
      </c>
      <c r="G4" s="6">
        <f>'1. SANTA LUZ'!G163+'2. RIAÇHÃO'!G4+'3. COITÉ '!G157+'4. VALENTE '!G139</f>
        <v>44404.22</v>
      </c>
      <c r="H4" s="6">
        <f>'1. SANTA LUZ'!H163+'2. RIAÇHÃO'!H4+'3. COITÉ '!H157+'4. VALENTE '!H139</f>
        <v>33499.58</v>
      </c>
      <c r="I4" s="6">
        <f>'1. SANTA LUZ'!I163+'2. RIAÇHÃO'!I4+'3. COITÉ '!I157+'4. VALENTE '!I139</f>
        <v>68230.16</v>
      </c>
      <c r="J4" s="6">
        <f>'1. SANTA LUZ'!J163+'2. RIAÇHÃO'!J4+'3. COITÉ '!J157+'4. VALENTE '!J139</f>
        <v>54263.96</v>
      </c>
      <c r="K4" s="6">
        <f>'1. SANTA LUZ'!K163+'2. RIAÇHÃO'!K4+'3. COITÉ '!K157+'4. VALENTE '!K139</f>
        <v>55108.24</v>
      </c>
      <c r="L4" s="6">
        <f>'1. SANTA LUZ'!L163+'2. RIAÇHÃO'!L4+'3. COITÉ '!L157+'4. VALENTE '!L139</f>
        <v>68549.03</v>
      </c>
      <c r="M4" s="6">
        <f>'1. SANTA LUZ'!M163+'2. RIAÇHÃO'!M4+'3. COITÉ '!M157+'4. VALENTE '!M139</f>
        <v>60758.34</v>
      </c>
      <c r="N4" s="6">
        <f>'1. SANTA LUZ'!N163+'2. RIAÇHÃO'!N4+'3. COITÉ '!N157+'4. VALENTE '!N139</f>
        <v>17602.28</v>
      </c>
      <c r="O4" s="6">
        <f t="shared" ref="O4:O5" si="0">SUM(C4:N4)</f>
        <v>613595.27</v>
      </c>
      <c r="U4" t="e">
        <f>#REF!*1.15</f>
        <v>#REF!</v>
      </c>
    </row>
    <row r="5" spans="2:21" ht="18.75" x14ac:dyDescent="0.3">
      <c r="B5" s="162" t="s">
        <v>14</v>
      </c>
      <c r="C5" s="6">
        <f>'1. SANTA LUZ'!C164+'2. RIAÇHÃO'!C5+'3. COITÉ '!C158+'4. VALENTE '!C140</f>
        <v>72292.62</v>
      </c>
      <c r="D5" s="6">
        <f>'1. SANTA LUZ'!D164+'2. RIAÇHÃO'!D5+'3. COITÉ '!D158+'4. VALENTE '!D140</f>
        <v>61022.05</v>
      </c>
      <c r="E5" s="6">
        <f>'1. SANTA LUZ'!E164+'2. RIAÇHÃO'!E5+'3. COITÉ '!E158+'4. VALENTE '!E140</f>
        <v>73966.850000000006</v>
      </c>
      <c r="F5" s="6">
        <f>'1. SANTA LUZ'!F164+'2. RIAÇHÃO'!F5+'3. COITÉ '!F158+'4. VALENTE '!F140</f>
        <v>72940.19</v>
      </c>
      <c r="G5" s="6">
        <f>'1. SANTA LUZ'!G164+'2. RIAÇHÃO'!G5+'3. COITÉ '!G158+'4. VALENTE '!G140</f>
        <v>87288.02</v>
      </c>
      <c r="H5" s="6">
        <f>'1. SANTA LUZ'!H164+'2. RIAÇHÃO'!H5+'3. COITÉ '!H158+'4. VALENTE '!H140</f>
        <v>68164.38</v>
      </c>
      <c r="I5" s="6">
        <f>'1. SANTA LUZ'!I164+'2. RIAÇHÃO'!I5+'3. COITÉ '!I158+'4. VALENTE '!I140</f>
        <v>81469.180000000008</v>
      </c>
      <c r="J5" s="6">
        <f>'1. SANTA LUZ'!J164+'2. RIAÇHÃO'!J5+'3. COITÉ '!J158+'4. VALENTE '!J140</f>
        <v>106957.62999999999</v>
      </c>
      <c r="K5" s="6">
        <f>'1. SANTA LUZ'!K164+'2. RIAÇHÃO'!K5+'3. COITÉ '!K158+'4. VALENTE '!K140</f>
        <v>111985.66</v>
      </c>
      <c r="L5" s="6">
        <f>'1. SANTA LUZ'!L164+'2. RIAÇHÃO'!L5+'3. COITÉ '!L158+'4. VALENTE '!L140</f>
        <v>121612.29999999999</v>
      </c>
      <c r="M5" s="6">
        <f>'1. SANTA LUZ'!M164+'2. RIAÇHÃO'!M5+'3. COITÉ '!M158+'4. VALENTE '!M140</f>
        <v>111017.89</v>
      </c>
      <c r="N5" s="6">
        <f>'1. SANTA LUZ'!N164+'2. RIAÇHÃO'!N5+'3. COITÉ '!N158+'4. VALENTE '!N140</f>
        <v>46175.38</v>
      </c>
      <c r="O5" s="6">
        <f t="shared" si="0"/>
        <v>1014892.1499999999</v>
      </c>
    </row>
    <row r="6" spans="2:21" ht="19.5" customHeight="1" x14ac:dyDescent="0.3">
      <c r="B6" s="165" t="s">
        <v>261</v>
      </c>
      <c r="C6" s="341">
        <f>'1. SANTA LUZ'!C165+'2. RIAÇHÃO'!C6+'3. COITÉ '!C159+'4. VALENTE '!C141</f>
        <v>124165.67</v>
      </c>
      <c r="D6" s="342">
        <f>'1. SANTA LUZ'!D165+'2. RIAÇHÃO'!D6+'3. COITÉ '!D159+'4. VALENTE '!D141</f>
        <v>109808.85</v>
      </c>
      <c r="E6" s="341">
        <f>'1. SANTA LUZ'!E165+'2. RIAÇHÃO'!E6+'3. COITÉ '!E159+'4. VALENTE '!E141</f>
        <v>130767.82999999999</v>
      </c>
      <c r="F6" s="342">
        <f>'1. SANTA LUZ'!F165+'2. RIAÇHÃO'!F6+'3. COITÉ '!F159+'4. VALENTE '!F141</f>
        <v>126658.81999999999</v>
      </c>
      <c r="G6" s="342">
        <f>'1. SANTA LUZ'!G165+'2. RIAÇHÃO'!G6+'3. COITÉ '!G159+'4. VALENTE '!G141</f>
        <v>138389.31</v>
      </c>
      <c r="H6" s="342">
        <f>'1. SANTA LUZ'!H165+'2. RIAÇHÃO'!H6+'3. COITÉ '!H159+'4. VALENTE '!H141</f>
        <v>109393.88</v>
      </c>
      <c r="I6" s="341">
        <f>'1. SANTA LUZ'!I165+'2. RIAÇHÃO'!I6+'3. COITÉ '!I159+'4. VALENTE '!I141</f>
        <v>160033.67000000001</v>
      </c>
      <c r="J6" s="341">
        <f>'1. SANTA LUZ'!J165+'2. RIAÇHÃO'!J6+'3. COITÉ '!J159+'4. VALENTE '!J141</f>
        <v>168427.59000000003</v>
      </c>
      <c r="K6" s="341">
        <f>'1. SANTA LUZ'!K165+'2. RIAÇHÃO'!K6+'3. COITÉ '!K159+'4. VALENTE '!K141</f>
        <v>167073.59999999998</v>
      </c>
      <c r="L6" s="341">
        <f>'1. SANTA LUZ'!L165+'2. RIAÇHÃO'!L6+'3. COITÉ '!L159+'4. VALENTE '!L141</f>
        <v>197478.33000000002</v>
      </c>
      <c r="M6" s="6">
        <f>'1. SANTA LUZ'!M165+'2. RIAÇHÃO'!M6+'3. COITÉ '!M159+'4. VALENTE '!M141</f>
        <v>171787.24</v>
      </c>
      <c r="N6" s="6">
        <v>118998</v>
      </c>
      <c r="O6" s="7">
        <f>SUM(C6:N6)</f>
        <v>1722982.7900000003</v>
      </c>
      <c r="P6" s="9"/>
    </row>
    <row r="7" spans="2:21" s="258" customFormat="1" ht="15.75" customHeight="1" x14ac:dyDescent="0.3">
      <c r="B7" s="259" t="s">
        <v>213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277" t="e">
        <f>(O6/#REF!)-1</f>
        <v>#REF!</v>
      </c>
    </row>
    <row r="8" spans="2:21" ht="15.75" customHeight="1" x14ac:dyDescent="0.3">
      <c r="B8" s="257" t="s">
        <v>48</v>
      </c>
      <c r="C8" s="392">
        <f>(C6/C3)-1</f>
        <v>0.12315287904256933</v>
      </c>
      <c r="D8" s="392">
        <f t="shared" ref="D8:N8" si="1">(D6/D3)-1</f>
        <v>-4.4911608061574793E-2</v>
      </c>
      <c r="E8" s="392">
        <f t="shared" si="1"/>
        <v>0.15450860949331613</v>
      </c>
      <c r="F8" s="392">
        <f t="shared" si="1"/>
        <v>-2.8807002083042876E-2</v>
      </c>
      <c r="G8" s="392">
        <f t="shared" si="1"/>
        <v>-2.0104161981222002E-2</v>
      </c>
      <c r="H8" s="392">
        <f t="shared" si="1"/>
        <v>-8.8385689359620323E-2</v>
      </c>
      <c r="I8" s="392">
        <f t="shared" si="1"/>
        <v>0.24210094923581615</v>
      </c>
      <c r="J8" s="392">
        <f t="shared" si="1"/>
        <v>0.11806808983399075</v>
      </c>
      <c r="K8" s="392">
        <f t="shared" si="1"/>
        <v>0.27917933872891076</v>
      </c>
      <c r="L8" s="392">
        <f t="shared" si="1"/>
        <v>0.2046794248835706</v>
      </c>
      <c r="M8" s="392">
        <f t="shared" si="1"/>
        <v>5.2422919848222005E-2</v>
      </c>
      <c r="N8" s="392">
        <f t="shared" si="1"/>
        <v>-2.5283899441235214E-3</v>
      </c>
      <c r="O8" s="245">
        <f t="shared" ref="O8" si="2">O6/O3</f>
        <v>1.0856966249868056</v>
      </c>
    </row>
    <row r="9" spans="2:21" ht="15.75" customHeight="1" x14ac:dyDescent="0.3">
      <c r="B9" s="257"/>
      <c r="C9" s="392"/>
      <c r="D9" s="392"/>
      <c r="E9" s="392"/>
      <c r="F9" s="392"/>
      <c r="G9" s="392"/>
      <c r="H9" s="392"/>
      <c r="I9" s="392"/>
      <c r="J9" s="392"/>
      <c r="K9" s="392"/>
      <c r="L9" s="392"/>
      <c r="M9" s="392"/>
      <c r="N9" s="392"/>
      <c r="O9" s="245"/>
    </row>
    <row r="10" spans="2:21" ht="15.75" customHeight="1" x14ac:dyDescent="0.3">
      <c r="B10" s="257" t="s">
        <v>465</v>
      </c>
      <c r="C10" s="393">
        <f>(3300)+(2000*C8)</f>
        <v>3546.3057580851387</v>
      </c>
      <c r="D10" s="394">
        <v>3000</v>
      </c>
      <c r="E10" s="393">
        <f>(3300)+(2000*E8)</f>
        <v>3609.0172189866321</v>
      </c>
      <c r="F10" s="394">
        <v>3000</v>
      </c>
      <c r="G10" s="394">
        <v>3000</v>
      </c>
      <c r="H10" s="394">
        <v>2500</v>
      </c>
      <c r="I10" s="393">
        <f>(3300)+(2000*I8)</f>
        <v>3784.2018984716324</v>
      </c>
      <c r="J10" s="393">
        <f>(3300)+(2000*J8)</f>
        <v>3536.1361796679817</v>
      </c>
      <c r="K10" s="393">
        <f>(3300)+(2000*K8)</f>
        <v>3858.3586774578216</v>
      </c>
      <c r="L10" s="393">
        <f>(3300)+(2000*L8)</f>
        <v>3709.3588497671412</v>
      </c>
      <c r="M10" s="393">
        <f>(3300)+(2000*M8)</f>
        <v>3404.8458396964438</v>
      </c>
      <c r="N10" s="394">
        <v>3000</v>
      </c>
      <c r="O10" s="7">
        <f>SUM(C10:N10)</f>
        <v>39948.224422132786</v>
      </c>
      <c r="P10" s="397" t="s">
        <v>468</v>
      </c>
      <c r="Q10" s="397"/>
      <c r="R10" s="379"/>
    </row>
    <row r="11" spans="2:21" ht="15.75" customHeight="1" x14ac:dyDescent="0.3"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396">
        <f>SUM('1. SANTA LUZ'!M211+'3. COITÉ '!M204+'4. VALENTE '!M184)</f>
        <v>3215.8896866668065</v>
      </c>
      <c r="P11" s="391" t="s">
        <v>469</v>
      </c>
      <c r="Q11" s="379"/>
    </row>
    <row r="12" spans="2:21" s="25" customFormat="1" ht="21.75" customHeight="1" x14ac:dyDescent="0.25">
      <c r="B12" s="385">
        <v>2026</v>
      </c>
      <c r="C12" s="27" t="s">
        <v>0</v>
      </c>
      <c r="D12" s="27" t="s">
        <v>1</v>
      </c>
      <c r="E12" s="28" t="s">
        <v>2</v>
      </c>
      <c r="F12" s="28" t="s">
        <v>3</v>
      </c>
      <c r="G12" s="28" t="s">
        <v>4</v>
      </c>
      <c r="H12" s="27" t="s">
        <v>5</v>
      </c>
      <c r="I12" s="27" t="s">
        <v>6</v>
      </c>
      <c r="J12" s="28" t="s">
        <v>7</v>
      </c>
      <c r="K12" s="28" t="s">
        <v>8</v>
      </c>
      <c r="L12" s="28" t="s">
        <v>9</v>
      </c>
      <c r="M12" s="28" t="s">
        <v>10</v>
      </c>
      <c r="N12" s="27" t="s">
        <v>11</v>
      </c>
      <c r="O12" s="29"/>
      <c r="Q12" s="30"/>
    </row>
    <row r="13" spans="2:21" ht="18.75" x14ac:dyDescent="0.3">
      <c r="B13" s="103" t="s">
        <v>455</v>
      </c>
      <c r="C13" s="6">
        <f>'1. SANTA LUZ'!C339+'3. COITÉ '!C285+'4. VALENTE '!C265</f>
        <v>152000</v>
      </c>
      <c r="D13" s="6">
        <f>'1. SANTA LUZ'!D339+'3. COITÉ '!D285+'4. VALENTE '!D265</f>
        <v>145000</v>
      </c>
      <c r="E13" s="6">
        <f>'1. SANTA LUZ'!E339+'3. COITÉ '!E285+'4. VALENTE '!E265</f>
        <v>160000</v>
      </c>
      <c r="F13" s="6">
        <f>'1. SANTA LUZ'!F339+'3. COITÉ '!F285+'4. VALENTE '!F265</f>
        <v>155000</v>
      </c>
      <c r="G13" s="6">
        <f>'1. SANTA LUZ'!G339+'3. COITÉ '!G285+'4. VALENTE '!G265</f>
        <v>171059.34400000004</v>
      </c>
      <c r="H13" s="6">
        <f>'1. SANTA LUZ'!H339+'3. COITÉ '!H285+'4. VALENTE '!H265</f>
        <v>134000</v>
      </c>
      <c r="I13" s="6">
        <f>'1. SANTA LUZ'!I339+'3. COITÉ '!I285+'4. VALENTE '!I265</f>
        <v>180412.20620000002</v>
      </c>
      <c r="J13" s="6">
        <f>'1. SANTA LUZ'!J339+'3. COITÉ '!J285+'4. VALENTE '!J265</f>
        <v>189744.24180000002</v>
      </c>
      <c r="K13" s="6">
        <f>'1. SANTA LUZ'!K339+'3. COITÉ '!K285+'4. VALENTE '!K265</f>
        <v>188460.17560000002</v>
      </c>
      <c r="L13" s="6">
        <f>'1. SANTA LUZ'!L339+'3. COITÉ '!L285+'4. VALENTE '!L265</f>
        <v>222477.94469999999</v>
      </c>
      <c r="M13" s="6">
        <f>'1. SANTA LUZ'!M339+'3. COITÉ '!M285+'4. VALENTE '!M265</f>
        <v>193620.84459999998</v>
      </c>
      <c r="N13" s="6">
        <f>'1. SANTA LUZ'!N339+'3. COITÉ '!N285+'4. VALENTE '!N265</f>
        <v>120693.92998000002</v>
      </c>
      <c r="O13" s="7">
        <f>SUM(C13:N13)</f>
        <v>2012468.6868799999</v>
      </c>
      <c r="P13" s="98"/>
    </row>
    <row r="14" spans="2:21" ht="18.75" x14ac:dyDescent="0.3">
      <c r="B14" s="162" t="s">
        <v>14</v>
      </c>
      <c r="C14" s="6">
        <v>84442.38</v>
      </c>
      <c r="D14" s="6">
        <f>'1. SANTA LUZ'!D342+'3. COITÉ '!D288+'4. VALENTE '!D268</f>
        <v>0</v>
      </c>
      <c r="E14" s="6">
        <f>'1. SANTA LUZ'!E342+'3. COITÉ '!E288+'4. VALENTE '!E268</f>
        <v>0</v>
      </c>
      <c r="F14" s="6">
        <f>'1. SANTA LUZ'!F342+'3. COITÉ '!F288+'4. VALENTE '!F268</f>
        <v>0</v>
      </c>
      <c r="G14" s="6">
        <f>'1. SANTA LUZ'!G342+'3. COITÉ '!G288+'4. VALENTE '!G268</f>
        <v>0</v>
      </c>
      <c r="H14" s="6">
        <f>'1. SANTA LUZ'!H342+'3. COITÉ '!H288+'4. VALENTE '!H268</f>
        <v>0</v>
      </c>
      <c r="I14" s="6">
        <f>'1. SANTA LUZ'!I342+'3. COITÉ '!I288+'4. VALENTE '!I268</f>
        <v>0</v>
      </c>
      <c r="J14" s="6">
        <f>'1. SANTA LUZ'!J342+'3. COITÉ '!J288+'4. VALENTE '!J268</f>
        <v>0</v>
      </c>
      <c r="K14" s="6">
        <f>'1. SANTA LUZ'!K342+'3. COITÉ '!K288+'4. VALENTE '!K268</f>
        <v>0</v>
      </c>
      <c r="L14" s="6">
        <f>'1. SANTA LUZ'!L342+'3. COITÉ '!L288+'4. VALENTE '!L268</f>
        <v>0</v>
      </c>
      <c r="M14" s="6">
        <f>'1. SANTA LUZ'!M342+'3. COITÉ '!M288+'4. VALENTE '!M268</f>
        <v>0</v>
      </c>
      <c r="N14" s="6">
        <f>'1. SANTA LUZ'!N342+'3. COITÉ '!N288+'4. VALENTE '!N268</f>
        <v>0</v>
      </c>
      <c r="O14" s="6">
        <f>SUM(C14:N14)</f>
        <v>84442.38</v>
      </c>
    </row>
    <row r="15" spans="2:21" ht="18.75" x14ac:dyDescent="0.3">
      <c r="B15" s="154" t="s">
        <v>13</v>
      </c>
      <c r="C15" s="6">
        <v>62547.39</v>
      </c>
      <c r="D15" s="6">
        <f>'1. SANTA LUZ'!D344+'3. COITÉ '!D287+'4. VALENTE '!D267</f>
        <v>0</v>
      </c>
      <c r="E15" s="6">
        <f>'1. SANTA LUZ'!E344+'3. COITÉ '!E287+'4. VALENTE '!E267</f>
        <v>0</v>
      </c>
      <c r="F15" s="6">
        <f>'1. SANTA LUZ'!F344+'3. COITÉ '!F287+'4. VALENTE '!F267</f>
        <v>0</v>
      </c>
      <c r="G15" s="6">
        <f>'1. SANTA LUZ'!G344+'3. COITÉ '!G287+'4. VALENTE '!G267</f>
        <v>0</v>
      </c>
      <c r="H15" s="6">
        <f>'1. SANTA LUZ'!H344+'3. COITÉ '!H287+'4. VALENTE '!H267</f>
        <v>0</v>
      </c>
      <c r="I15" s="6">
        <f>'1. SANTA LUZ'!I344+'3. COITÉ '!I287+'4. VALENTE '!I267</f>
        <v>0</v>
      </c>
      <c r="J15" s="6">
        <f>'1. SANTA LUZ'!J344+'3. COITÉ '!J287+'4. VALENTE '!J267</f>
        <v>0</v>
      </c>
      <c r="K15" s="6">
        <f>'1. SANTA LUZ'!K344+'3. COITÉ '!K287+'4. VALENTE '!K267</f>
        <v>0</v>
      </c>
      <c r="L15" s="6">
        <f>'1. SANTA LUZ'!L344+'3. COITÉ '!L287+'4. VALENTE '!L267</f>
        <v>0</v>
      </c>
      <c r="M15" s="6">
        <f>'1. SANTA LUZ'!M344+'3. COITÉ '!M287+'4. VALENTE '!M267</f>
        <v>0</v>
      </c>
      <c r="N15" s="6">
        <f>'1. SANTA LUZ'!N344+'3. COITÉ '!N287+'4. VALENTE '!N267</f>
        <v>0</v>
      </c>
      <c r="O15" s="6">
        <f t="shared" ref="O15" si="3">SUM(C15:N15)</f>
        <v>62547.39</v>
      </c>
      <c r="U15" t="e">
        <f>#REF!*1.15</f>
        <v>#REF!</v>
      </c>
    </row>
    <row r="16" spans="2:21" ht="19.5" customHeight="1" x14ac:dyDescent="0.3">
      <c r="B16" s="165" t="s">
        <v>457</v>
      </c>
      <c r="C16" s="342">
        <f>'1. SANTA LUZ'!C351+'3. COITÉ '!C289+'4. VALENTE '!C269</f>
        <v>146989.76999999999</v>
      </c>
      <c r="D16" s="6">
        <f>'1. SANTA LUZ'!D341+'3. COITÉ '!D289+'4. VALENTE '!D269+'2. RIAÇHÃO'!D6</f>
        <v>0</v>
      </c>
      <c r="E16" s="6">
        <f>'1. SANTA LUZ'!E341+'3. COITÉ '!E289+'4. VALENTE '!E269+'2. RIAÇHÃO'!E6</f>
        <v>0</v>
      </c>
      <c r="F16" s="6">
        <f>'1. SANTA LUZ'!F341+'3. COITÉ '!F289+'4. VALENTE '!F269+'2. RIAÇHÃO'!F6</f>
        <v>0</v>
      </c>
      <c r="G16" s="6"/>
      <c r="H16" s="6"/>
      <c r="I16" s="6"/>
      <c r="J16" s="6"/>
      <c r="K16" s="6"/>
      <c r="L16" s="6"/>
      <c r="M16" s="6"/>
      <c r="N16" s="6">
        <f>'1. SANTA LUZ'!N341+'3. COITÉ '!N289+'4. VALENTE '!N269+'2. RIAÇHÃO'!N6</f>
        <v>0</v>
      </c>
      <c r="O16" s="6"/>
      <c r="P16" s="9"/>
    </row>
    <row r="17" spans="2:15" s="258" customFormat="1" ht="15.75" customHeight="1" x14ac:dyDescent="0.3">
      <c r="B17" s="259" t="s">
        <v>213</v>
      </c>
      <c r="C17" s="585">
        <f>(C16/C6)-1</f>
        <v>0.18381973052615908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277"/>
    </row>
    <row r="18" spans="2:15" ht="15.75" customHeight="1" x14ac:dyDescent="0.3">
      <c r="B18" s="257" t="s">
        <v>470</v>
      </c>
      <c r="C18" s="584">
        <f>(C16/C13)-1</f>
        <v>-3.2962039473684257E-2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245"/>
    </row>
    <row r="19" spans="2:15" ht="18.75" x14ac:dyDescent="0.3">
      <c r="B19" s="263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2:15" ht="18.75" x14ac:dyDescent="0.3"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2:15" ht="18.75" x14ac:dyDescent="0.3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2:15" ht="18.75" x14ac:dyDescent="0.3"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2:15" ht="18.75" x14ac:dyDescent="0.3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2:15" ht="18.75" x14ac:dyDescent="0.3"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2:15" ht="18.75" x14ac:dyDescent="0.3"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</sheetData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B0D0-06F1-4878-8CCE-1694B9500CE8}">
  <sheetPr>
    <tabColor rgb="FF00CCFF"/>
  </sheetPr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PA CAPA</vt:lpstr>
      <vt:lpstr>1. SANTA LUZ</vt:lpstr>
      <vt:lpstr>3. COITÉ </vt:lpstr>
      <vt:lpstr>4. VALENTE </vt:lpstr>
      <vt:lpstr>2. RIAÇHÃO</vt:lpstr>
      <vt:lpstr>CONSOLIDADO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libbio bernades</cp:lastModifiedBy>
  <dcterms:created xsi:type="dcterms:W3CDTF">2024-06-10T15:54:23Z</dcterms:created>
  <dcterms:modified xsi:type="dcterms:W3CDTF">2026-02-12T19:15:18Z</dcterms:modified>
</cp:coreProperties>
</file>